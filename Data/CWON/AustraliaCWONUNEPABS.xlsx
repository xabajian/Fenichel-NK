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shullalan/Downloads/"/>
    </mc:Choice>
  </mc:AlternateContent>
  <xr:revisionPtr revIDLastSave="0" documentId="8_{9555A6DF-61AA-7A4A-9DE3-ABD404E40483}" xr6:coauthVersionLast="47" xr6:coauthVersionMax="47" xr10:uidLastSave="{00000000-0000-0000-0000-000000000000}"/>
  <bookViews>
    <workbookView xWindow="0" yWindow="740" windowWidth="30240" windowHeight="18900" activeTab="1" xr2:uid="{D8A6261E-018D-284A-8258-4C199B1CE62E}"/>
  </bookViews>
  <sheets>
    <sheet name="Australia_CWONMethodology" sheetId="1" r:id="rId1"/>
    <sheet name="Australia_AB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B9" i="1" l="1"/>
</calcChain>
</file>

<file path=xl/sharedStrings.xml><?xml version="1.0" encoding="utf-8"?>
<sst xmlns="http://schemas.openxmlformats.org/spreadsheetml/2006/main" count="1027" uniqueCount="321">
  <si>
    <t>Resource</t>
  </si>
  <si>
    <t>Timber Resources</t>
  </si>
  <si>
    <t>Units</t>
  </si>
  <si>
    <t>Source</t>
  </si>
  <si>
    <t>Time (how frequent is it measured)</t>
  </si>
  <si>
    <t>Spatial</t>
  </si>
  <si>
    <t>Access (Public or Private)</t>
  </si>
  <si>
    <t>Link</t>
  </si>
  <si>
    <t>Comments</t>
  </si>
  <si>
    <t>Cubic meters</t>
  </si>
  <si>
    <t>FAOSTAT</t>
  </si>
  <si>
    <t>Annually (starting from 1961)</t>
  </si>
  <si>
    <t>Roundwood + (Total)</t>
  </si>
  <si>
    <t>200+ countries</t>
  </si>
  <si>
    <t xml:space="preserve">Public </t>
  </si>
  <si>
    <t>Timber prices and unit rents</t>
  </si>
  <si>
    <t>Roundwood Production Quanitity</t>
  </si>
  <si>
    <t>Element</t>
  </si>
  <si>
    <t>Roundwood Export Quantity</t>
  </si>
  <si>
    <t>Roundwood Export Value</t>
  </si>
  <si>
    <t>US $</t>
  </si>
  <si>
    <t xml:space="preserve">Unit resource rents (π) </t>
  </si>
  <si>
    <t>π = E * a, where E is average export unit value for roundwood multiplied by a rental adjustment factor, a</t>
  </si>
  <si>
    <t>Average export unit value for roundwood (E)</t>
  </si>
  <si>
    <t>(US $ / Cubic meters)</t>
  </si>
  <si>
    <t xml:space="preserve">Rental Adjustment Factor (a) </t>
  </si>
  <si>
    <t>Export Value / Export Quantity</t>
  </si>
  <si>
    <r>
      <rPr>
        <sz val="12"/>
        <color rgb="FFFF0000"/>
        <rFont val="Aptos Narrow (Body)"/>
      </rPr>
      <t>Unit Rents</t>
    </r>
    <r>
      <rPr>
        <sz val="12"/>
        <color theme="1"/>
        <rFont val="Aptos Narrow"/>
        <family val="2"/>
        <scheme val="minor"/>
      </rPr>
      <t xml:space="preserve"> / Export Value</t>
    </r>
  </si>
  <si>
    <t>Agricultural Land</t>
  </si>
  <si>
    <t>Roundwood</t>
  </si>
  <si>
    <t>Production of crops and livestock products:</t>
  </si>
  <si>
    <t>Almonds, in shell</t>
  </si>
  <si>
    <t>Anise, badian, coriander, cumin, caraway, fennel and juniper berries, raw</t>
  </si>
  <si>
    <t>Apples</t>
  </si>
  <si>
    <t>Apricots</t>
  </si>
  <si>
    <t>Asparagus</t>
  </si>
  <si>
    <t>Avocados</t>
  </si>
  <si>
    <t>Bananas</t>
  </si>
  <si>
    <t>Barley</t>
  </si>
  <si>
    <t>Beans, dry</t>
  </si>
  <si>
    <t>Beeswax</t>
  </si>
  <si>
    <t>Blueberries</t>
  </si>
  <si>
    <t>Broad beans and horse beans, dry</t>
  </si>
  <si>
    <t>Cabbages</t>
  </si>
  <si>
    <t>Canary seed</t>
  </si>
  <si>
    <t>Cantaloupes and other melons</t>
  </si>
  <si>
    <t>Carrots and turnips</t>
  </si>
  <si>
    <t>Cattle fat, unrendered</t>
  </si>
  <si>
    <t>Cauliflowers and broccoli</t>
  </si>
  <si>
    <t>Cherries</t>
  </si>
  <si>
    <t>Chick peas, dry</t>
  </si>
  <si>
    <t>Chillies and peppers, green (Capsicum spp. and Pimenta spp.)</t>
  </si>
  <si>
    <t>Cow peas, dry</t>
  </si>
  <si>
    <t>Cucumbers and gherkins</t>
  </si>
  <si>
    <t>Currants</t>
  </si>
  <si>
    <t>Edible offal of cattle, fresh, chilled or frozen</t>
  </si>
  <si>
    <t>Edible offal of goat, fresh, chilled or frozen</t>
  </si>
  <si>
    <t>Edible offal of pigs, fresh, chilled or frozen</t>
  </si>
  <si>
    <t>Edible offal of sheep, fresh, chilled or frozen</t>
  </si>
  <si>
    <t>Edible offals of horses and other equines,  fresh, chilled or frozen</t>
  </si>
  <si>
    <t>Eggplants (aubergines)</t>
  </si>
  <si>
    <t>Fat of pigs</t>
  </si>
  <si>
    <t>Figs</t>
  </si>
  <si>
    <t>Ginger, raw</t>
  </si>
  <si>
    <t>Goat fat, unrendered</t>
  </si>
  <si>
    <t>Grapes</t>
  </si>
  <si>
    <t>Green corn (maize)</t>
  </si>
  <si>
    <t>Green garlic</t>
  </si>
  <si>
    <t>Groundnuts, excluding shelled</t>
  </si>
  <si>
    <t>Hempseed</t>
  </si>
  <si>
    <t>Hen eggs in shell, fresh</t>
  </si>
  <si>
    <t>Hop cones</t>
  </si>
  <si>
    <t>Horse meat, fresh or chilled</t>
  </si>
  <si>
    <t>Kiwi fruit</t>
  </si>
  <si>
    <t>Lemons and limes</t>
  </si>
  <si>
    <t>Lentils, dry</t>
  </si>
  <si>
    <t>Lettuce and chicory</t>
  </si>
  <si>
    <t>Linseed</t>
  </si>
  <si>
    <t>Lupins</t>
  </si>
  <si>
    <t>Maize (corn)</t>
  </si>
  <si>
    <t>Mangoes, guavas and mangosteens</t>
  </si>
  <si>
    <t>Meat of cattle with the bone, fresh or chilled</t>
  </si>
  <si>
    <t>Meat of chickens, fresh or chilled</t>
  </si>
  <si>
    <t>Meat of ducks, fresh or chilled</t>
  </si>
  <si>
    <t>Meat of goat, fresh or chilled</t>
  </si>
  <si>
    <t>Meat of pig with the bone, fresh or chilled</t>
  </si>
  <si>
    <t>Meat of sheep, fresh or chilled</t>
  </si>
  <si>
    <t>Meat of turkeys, fresh or chilled</t>
  </si>
  <si>
    <t>Millet</t>
  </si>
  <si>
    <t>Mushrooms and truffles</t>
  </si>
  <si>
    <t>Mustard seed</t>
  </si>
  <si>
    <t>Natural honey</t>
  </si>
  <si>
    <t>Oats</t>
  </si>
  <si>
    <t>Olives</t>
  </si>
  <si>
    <t>Onions and shallots, dry (excluding dehydrated)</t>
  </si>
  <si>
    <t>Oranges</t>
  </si>
  <si>
    <t>Other beans, green</t>
  </si>
  <si>
    <t>Other berries and fruits of the genus vaccinium n.e.c.</t>
  </si>
  <si>
    <t>Other citrus fruit, n.e.c.</t>
  </si>
  <si>
    <t>Other fibre crops, raw, n.e.c.</t>
  </si>
  <si>
    <t>Other nuts (excluding wild edible nuts and groundnuts), in shell, n.e.c.</t>
  </si>
  <si>
    <t>Other pulses n.e.c.</t>
  </si>
  <si>
    <t>Other stone fruits</t>
  </si>
  <si>
    <t>Other tropical fruits, n.e.c.</t>
  </si>
  <si>
    <t>Other vegetables, fresh n.e.c.</t>
  </si>
  <si>
    <t>Papayas</t>
  </si>
  <si>
    <t>Peaches and nectarines</t>
  </si>
  <si>
    <t>Pears</t>
  </si>
  <si>
    <t>Peas, dry</t>
  </si>
  <si>
    <t>Peas, green</t>
  </si>
  <si>
    <t>Persimmons</t>
  </si>
  <si>
    <t>Pineapples</t>
  </si>
  <si>
    <t>Pistachios, in shell</t>
  </si>
  <si>
    <t>Plums and sloes</t>
  </si>
  <si>
    <t>Pomelos and grapefruits</t>
  </si>
  <si>
    <t>Potatoes</t>
  </si>
  <si>
    <t>Pumpkins, squash and gourds</t>
  </si>
  <si>
    <t>Quinces</t>
  </si>
  <si>
    <t>Rape or colza seed</t>
  </si>
  <si>
    <t>Raspberries</t>
  </si>
  <si>
    <t>Raw hides and skins of cattle</t>
  </si>
  <si>
    <t>Raw hides and skins of goats or kids</t>
  </si>
  <si>
    <t>Raw hides and skins of sheep or lambs</t>
  </si>
  <si>
    <t>Raw milk of cattle</t>
  </si>
  <si>
    <t>Rice</t>
  </si>
  <si>
    <t>Rye</t>
  </si>
  <si>
    <t>Safflower seed</t>
  </si>
  <si>
    <t>Seed cotton, unginned</t>
  </si>
  <si>
    <t>Sheep fat, unrendered</t>
  </si>
  <si>
    <t>Shorn wool, greasy, including fleece-washed shorn wool</t>
  </si>
  <si>
    <t>Sorghum</t>
  </si>
  <si>
    <t>Soya beans</t>
  </si>
  <si>
    <t>Spinach</t>
  </si>
  <si>
    <t>Strawberries</t>
  </si>
  <si>
    <t>Sugar beet</t>
  </si>
  <si>
    <t>Sugar cane</t>
  </si>
  <si>
    <t>Sunflower seed</t>
  </si>
  <si>
    <t>Sweet potatoes</t>
  </si>
  <si>
    <t>Tangerines, mandarins, clementines</t>
  </si>
  <si>
    <t>Tomatoes</t>
  </si>
  <si>
    <t>Triticale</t>
  </si>
  <si>
    <t>True hemp, raw or retted</t>
  </si>
  <si>
    <t>Unmanufactured tobacco</t>
  </si>
  <si>
    <t>Vetches</t>
  </si>
  <si>
    <t>Walnuts, in shell</t>
  </si>
  <si>
    <t>Watermelons</t>
  </si>
  <si>
    <t>Wheat</t>
  </si>
  <si>
    <t>Beef and Buffalo Meat, primary</t>
  </si>
  <si>
    <t>Cereals, primary</t>
  </si>
  <si>
    <t>Citrus Fruit, Total</t>
  </si>
  <si>
    <t>Eggs Primary</t>
  </si>
  <si>
    <t>Fibre Crops, Fibre Equivalent</t>
  </si>
  <si>
    <t>Fruit Primary</t>
  </si>
  <si>
    <t>Meat, Poultry</t>
  </si>
  <si>
    <t>Meat, Total</t>
  </si>
  <si>
    <t>Milk, Total</t>
  </si>
  <si>
    <t>Oilcrops, Cake Equivalent</t>
  </si>
  <si>
    <t>Oilcrops, Oil Equivalent</t>
  </si>
  <si>
    <t>Pulses, Total</t>
  </si>
  <si>
    <t>Roots and Tubers, Total</t>
  </si>
  <si>
    <t>Sheep and Goat Meat</t>
  </si>
  <si>
    <t>Sugar Crops Primary</t>
  </si>
  <si>
    <t>Treenuts, Total</t>
  </si>
  <si>
    <t>Vegetables Primary</t>
  </si>
  <si>
    <t>Tons</t>
  </si>
  <si>
    <t>Unit Prices for crop and livestock products</t>
  </si>
  <si>
    <t>US $ / Ton</t>
  </si>
  <si>
    <t>Mangroves</t>
  </si>
  <si>
    <t>Fisheries</t>
  </si>
  <si>
    <t>Fisheries catch data</t>
  </si>
  <si>
    <t>FAOSTAT - FishSTAT</t>
  </si>
  <si>
    <t>Annually (starting in 1950)</t>
  </si>
  <si>
    <t>Oil and Natural Gas Production</t>
  </si>
  <si>
    <t>Natural Gas production</t>
  </si>
  <si>
    <t>Oil production</t>
  </si>
  <si>
    <t>bcf (billion cubic feet)</t>
  </si>
  <si>
    <t>US EIA</t>
  </si>
  <si>
    <t>Annually (starting in 1980)</t>
  </si>
  <si>
    <t>World</t>
  </si>
  <si>
    <t>Coal production</t>
  </si>
  <si>
    <t>quad (Btu)</t>
  </si>
  <si>
    <t>USGS Minerals Yearbook</t>
  </si>
  <si>
    <t>Production of metals and minerals</t>
  </si>
  <si>
    <t>Aluminum:</t>
  </si>
  <si>
    <t>Bauxite</t>
  </si>
  <si>
    <t>Alumina</t>
  </si>
  <si>
    <t>Metal, primary</t>
  </si>
  <si>
    <t>Cadmium, refinery, primary</t>
  </si>
  <si>
    <t>Cobalt, Co content:</t>
  </si>
  <si>
    <t>Refinery, metal powder and oxide-hydroxide</t>
  </si>
  <si>
    <t>Copper:</t>
  </si>
  <si>
    <t>Mine:</t>
  </si>
  <si>
    <t>Concentrate, Cu content</t>
  </si>
  <si>
    <t>Smelter, primary</t>
  </si>
  <si>
    <t>Refinery, primary:</t>
  </si>
  <si>
    <t>Electrowon</t>
  </si>
  <si>
    <t>Other</t>
  </si>
  <si>
    <t>Ferromanganese</t>
  </si>
  <si>
    <t>Silicomanganese</t>
  </si>
  <si>
    <t>Gold:</t>
  </si>
  <si>
    <t>Mine, Au content</t>
  </si>
  <si>
    <t>Refinery, primary and secondary</t>
  </si>
  <si>
    <t>Iron ore, mine:</t>
  </si>
  <si>
    <t>Gross weight</t>
  </si>
  <si>
    <t>Fe content</t>
  </si>
  <si>
    <t>Iron and steel:</t>
  </si>
  <si>
    <t>Pig iron</t>
  </si>
  <si>
    <t>Raw steel</t>
  </si>
  <si>
    <t>Lead:</t>
  </si>
  <si>
    <t>Mine, Pb content</t>
  </si>
  <si>
    <t>Refinery:</t>
  </si>
  <si>
    <t>Primary</t>
  </si>
  <si>
    <t>Manganese, mine, ore:</t>
  </si>
  <si>
    <t>Mn content</t>
  </si>
  <si>
    <t>Nickel:</t>
  </si>
  <si>
    <t>Mine, Ni content</t>
  </si>
  <si>
    <t>Palladium</t>
  </si>
  <si>
    <t>Platinum</t>
  </si>
  <si>
    <t>Total</t>
  </si>
  <si>
    <t>Silver:</t>
  </si>
  <si>
    <t>Mine, Ag content</t>
  </si>
  <si>
    <t>Refinery</t>
  </si>
  <si>
    <t>Tantalum, mine, tantalite concentrate, Ta content</t>
  </si>
  <si>
    <t>Tin, mine, Sn content</t>
  </si>
  <si>
    <t>Ilmenite and leucoxene</t>
  </si>
  <si>
    <t>Rutile</t>
  </si>
  <si>
    <t>Zinc:</t>
  </si>
  <si>
    <t>Mine, Zn content</t>
  </si>
  <si>
    <t>INDUSTRIAL MINERALS</t>
  </si>
  <si>
    <t>Abrasives, garnet, natural</t>
  </si>
  <si>
    <t>Barite</t>
  </si>
  <si>
    <t>Bentonite</t>
  </si>
  <si>
    <t>Fuller's earth, attapulgite</t>
  </si>
  <si>
    <t>Kaolin</t>
  </si>
  <si>
    <t>Diamond, natural:</t>
  </si>
  <si>
    <t>Gem</t>
  </si>
  <si>
    <t>Industrial</t>
  </si>
  <si>
    <t>Feldspar, includes nepheline syenite</t>
  </si>
  <si>
    <t>Gypsum, mine</t>
  </si>
  <si>
    <t>Lithium:</t>
  </si>
  <si>
    <t>Spodumene, concentrate</t>
  </si>
  <si>
    <t>Refinery, lithium hydroxide</t>
  </si>
  <si>
    <t>Salt</t>
  </si>
  <si>
    <r>
      <t>Antimony, mine, Sb content</t>
    </r>
    <r>
      <rPr>
        <vertAlign val="superscript"/>
        <sz val="12"/>
        <color theme="1"/>
        <rFont val="Aptos Narrow"/>
        <scheme val="minor"/>
      </rPr>
      <t>3</t>
    </r>
  </si>
  <si>
    <r>
      <t>Mine, laterite ore, Ni concentrate, and Zn concentrate</t>
    </r>
    <r>
      <rPr>
        <vertAlign val="superscript"/>
        <sz val="12"/>
        <color theme="1"/>
        <rFont val="Aptos Narrow"/>
        <scheme val="minor"/>
      </rPr>
      <t>4</t>
    </r>
  </si>
  <si>
    <r>
      <t>Solvent extraction</t>
    </r>
    <r>
      <rPr>
        <vertAlign val="superscript"/>
        <sz val="12"/>
        <rFont val="Aptos Narrow"/>
        <scheme val="minor"/>
      </rPr>
      <t>5</t>
    </r>
  </si>
  <si>
    <r>
      <t>Ferroalloys:</t>
    </r>
    <r>
      <rPr>
        <vertAlign val="superscript"/>
        <sz val="12"/>
        <color theme="1"/>
        <rFont val="Aptos Narrow"/>
        <scheme val="minor"/>
      </rPr>
      <t>6</t>
    </r>
  </si>
  <si>
    <r>
      <t>Secondary, excluding remelt</t>
    </r>
    <r>
      <rPr>
        <vertAlign val="superscript"/>
        <sz val="12"/>
        <color theme="1"/>
        <rFont val="Aptos Narrow"/>
        <scheme val="minor"/>
      </rPr>
      <t>e</t>
    </r>
  </si>
  <si>
    <r>
      <t>Smelter, matte</t>
    </r>
    <r>
      <rPr>
        <vertAlign val="superscript"/>
        <sz val="12"/>
        <color theme="1"/>
        <rFont val="Aptos Narrow"/>
        <scheme val="minor"/>
      </rPr>
      <t>,7</t>
    </r>
  </si>
  <si>
    <r>
      <t>Refinery</t>
    </r>
    <r>
      <rPr>
        <vertAlign val="superscript"/>
        <sz val="12"/>
        <color theme="1"/>
        <rFont val="Aptos Narrow"/>
        <scheme val="minor"/>
      </rPr>
      <t>8</t>
    </r>
  </si>
  <si>
    <r>
      <t>Platinum-group metals, mine, elemental content:</t>
    </r>
    <r>
      <rPr>
        <vertAlign val="superscript"/>
        <sz val="12"/>
        <color theme="1"/>
        <rFont val="Aptos Narrow"/>
        <scheme val="minor"/>
      </rPr>
      <t>e, 9</t>
    </r>
  </si>
  <si>
    <r>
      <t>Rare earths, mineral concentrate, rare-earths oxide equivalent</t>
    </r>
    <r>
      <rPr>
        <vertAlign val="superscript"/>
        <sz val="12"/>
        <color theme="1"/>
        <rFont val="Aptos Narrow"/>
        <scheme val="minor"/>
      </rPr>
      <t>e</t>
    </r>
  </si>
  <si>
    <r>
      <t>Silicon, metal</t>
    </r>
    <r>
      <rPr>
        <vertAlign val="superscript"/>
        <sz val="12"/>
        <color theme="1"/>
        <rFont val="Aptos Narrow"/>
        <scheme val="minor"/>
      </rPr>
      <t>e</t>
    </r>
  </si>
  <si>
    <r>
      <t>Titanium, mineral concentrates:</t>
    </r>
    <r>
      <rPr>
        <vertAlign val="superscript"/>
        <sz val="12"/>
        <color theme="1"/>
        <rFont val="Aptos Narrow"/>
        <scheme val="minor"/>
      </rPr>
      <t>e</t>
    </r>
  </si>
  <si>
    <r>
      <t>Tungsten, mine, concentrate, W content</t>
    </r>
    <r>
      <rPr>
        <vertAlign val="superscript"/>
        <sz val="12"/>
        <color theme="1"/>
        <rFont val="Aptos Narrow"/>
        <scheme val="minor"/>
      </rPr>
      <t>e</t>
    </r>
  </si>
  <si>
    <r>
      <t>Zirconium, mineral concentrates</t>
    </r>
    <r>
      <rPr>
        <vertAlign val="superscript"/>
        <sz val="12"/>
        <color theme="1"/>
        <rFont val="Aptos Narrow"/>
        <scheme val="minor"/>
      </rPr>
      <t>e</t>
    </r>
  </si>
  <si>
    <r>
      <t>Cement, hydraulic</t>
    </r>
    <r>
      <rPr>
        <vertAlign val="superscript"/>
        <sz val="12"/>
        <color theme="1"/>
        <rFont val="Aptos Narrow"/>
        <scheme val="minor"/>
      </rPr>
      <t>e</t>
    </r>
  </si>
  <si>
    <r>
      <t>Clay:</t>
    </r>
    <r>
      <rPr>
        <vertAlign val="superscript"/>
        <sz val="12"/>
        <color theme="1"/>
        <rFont val="Aptos Narrow"/>
        <scheme val="minor"/>
      </rPr>
      <t>e</t>
    </r>
  </si>
  <si>
    <r>
      <t>Diatomite</t>
    </r>
    <r>
      <rPr>
        <vertAlign val="superscript"/>
        <sz val="12"/>
        <color theme="1"/>
        <rFont val="Aptos Narrow"/>
        <scheme val="minor"/>
      </rPr>
      <t>e</t>
    </r>
  </si>
  <si>
    <r>
      <t>Lime</t>
    </r>
    <r>
      <rPr>
        <vertAlign val="superscript"/>
        <sz val="12"/>
        <color theme="1"/>
        <rFont val="Aptos Narrow"/>
        <scheme val="minor"/>
      </rPr>
      <t>e</t>
    </r>
  </si>
  <si>
    <r>
      <t>Magnesite</t>
    </r>
    <r>
      <rPr>
        <vertAlign val="superscript"/>
        <sz val="12"/>
        <color theme="1"/>
        <rFont val="Aptos Narrow"/>
        <scheme val="minor"/>
      </rPr>
      <t>e, 10</t>
    </r>
  </si>
  <si>
    <r>
      <t>Nitrogen, ammonia, N content</t>
    </r>
    <r>
      <rPr>
        <vertAlign val="superscript"/>
        <sz val="12"/>
        <color theme="1"/>
        <rFont val="Aptos Narrow"/>
        <scheme val="minor"/>
      </rPr>
      <t>e</t>
    </r>
  </si>
  <si>
    <r>
      <t>Perlite</t>
    </r>
    <r>
      <rPr>
        <vertAlign val="superscript"/>
        <sz val="12"/>
        <color theme="1"/>
        <rFont val="Aptos Narrow"/>
        <scheme val="minor"/>
      </rPr>
      <t>e</t>
    </r>
  </si>
  <si>
    <r>
      <t>Phosphate rock:</t>
    </r>
    <r>
      <rPr>
        <vertAlign val="superscript"/>
        <sz val="12"/>
        <color theme="1"/>
        <rFont val="Aptos Narrow"/>
        <scheme val="minor"/>
      </rPr>
      <t>e</t>
    </r>
  </si>
  <si>
    <r>
      <t>P</t>
    </r>
    <r>
      <rPr>
        <vertAlign val="subscript"/>
        <sz val="12"/>
        <color theme="1"/>
        <rFont val="Aptos Narrow"/>
        <scheme val="minor"/>
      </rPr>
      <t>2</t>
    </r>
    <r>
      <rPr>
        <sz val="12"/>
        <color theme="1"/>
        <rFont val="Aptos Narrow"/>
        <scheme val="minor"/>
      </rPr>
      <t>O</t>
    </r>
    <r>
      <rPr>
        <vertAlign val="subscript"/>
        <sz val="12"/>
        <color theme="1"/>
        <rFont val="Aptos Narrow"/>
        <scheme val="minor"/>
      </rPr>
      <t>5</t>
    </r>
    <r>
      <rPr>
        <sz val="12"/>
        <color theme="1"/>
        <rFont val="Aptos Narrow"/>
        <scheme val="minor"/>
      </rPr>
      <t xml:space="preserve"> content</t>
    </r>
  </si>
  <si>
    <r>
      <t>Talc and related materials, chlorite, pyrophillite, steatite, talc</t>
    </r>
    <r>
      <rPr>
        <vertAlign val="superscript"/>
        <sz val="12"/>
        <color theme="1"/>
        <rFont val="Aptos Narrow"/>
        <scheme val="minor"/>
      </rPr>
      <t>e</t>
    </r>
  </si>
  <si>
    <t>Metals and Minerals (2023 data is organized)</t>
  </si>
  <si>
    <t>thousand metric tons</t>
  </si>
  <si>
    <t>metric tons</t>
  </si>
  <si>
    <t>kilograms</t>
  </si>
  <si>
    <t>-</t>
  </si>
  <si>
    <t>thousand carats</t>
  </si>
  <si>
    <t>Aus: Annually (starting in 1994)</t>
  </si>
  <si>
    <r>
      <t>Antimony, mine, Sb content</t>
    </r>
    <r>
      <rPr>
        <vertAlign val="superscript"/>
        <sz val="12"/>
        <color rgb="FF000000"/>
        <rFont val="Aptos Narrow"/>
        <scheme val="minor"/>
      </rPr>
      <t>3</t>
    </r>
  </si>
  <si>
    <r>
      <t>Mine, laterite ore, Ni concentrate, and Zn concentrate</t>
    </r>
    <r>
      <rPr>
        <vertAlign val="superscript"/>
        <sz val="12"/>
        <color rgb="FF000000"/>
        <rFont val="Aptos Narrow"/>
        <scheme val="minor"/>
      </rPr>
      <t>4</t>
    </r>
  </si>
  <si>
    <r>
      <t>Ferroalloys:</t>
    </r>
    <r>
      <rPr>
        <vertAlign val="superscript"/>
        <sz val="12"/>
        <color rgb="FF000000"/>
        <rFont val="Aptos Narrow"/>
        <scheme val="minor"/>
      </rPr>
      <t>6</t>
    </r>
  </si>
  <si>
    <r>
      <t>Secondary, excluding remelt</t>
    </r>
    <r>
      <rPr>
        <vertAlign val="superscript"/>
        <sz val="12"/>
        <color rgb="FF000000"/>
        <rFont val="Aptos Narrow"/>
        <scheme val="minor"/>
      </rPr>
      <t>e</t>
    </r>
  </si>
  <si>
    <r>
      <t>Smelter, matte</t>
    </r>
    <r>
      <rPr>
        <vertAlign val="superscript"/>
        <sz val="12"/>
        <color rgb="FF000000"/>
        <rFont val="Aptos Narrow"/>
        <scheme val="minor"/>
      </rPr>
      <t>,7</t>
    </r>
  </si>
  <si>
    <r>
      <t>Refinery</t>
    </r>
    <r>
      <rPr>
        <vertAlign val="superscript"/>
        <sz val="12"/>
        <color rgb="FF000000"/>
        <rFont val="Aptos Narrow"/>
        <scheme val="minor"/>
      </rPr>
      <t>8</t>
    </r>
  </si>
  <si>
    <r>
      <t>Platinum-group metals, mine, elemental content:</t>
    </r>
    <r>
      <rPr>
        <vertAlign val="superscript"/>
        <sz val="12"/>
        <color rgb="FF000000"/>
        <rFont val="Aptos Narrow"/>
        <scheme val="minor"/>
      </rPr>
      <t>e, 9</t>
    </r>
  </si>
  <si>
    <r>
      <t>Rare earths, mineral concentrate, rare-earths oxide equivalent</t>
    </r>
    <r>
      <rPr>
        <vertAlign val="superscript"/>
        <sz val="12"/>
        <color rgb="FF000000"/>
        <rFont val="Aptos Narrow"/>
        <scheme val="minor"/>
      </rPr>
      <t>e</t>
    </r>
  </si>
  <si>
    <r>
      <t>Silicon, metal</t>
    </r>
    <r>
      <rPr>
        <vertAlign val="superscript"/>
        <sz val="12"/>
        <color rgb="FF000000"/>
        <rFont val="Aptos Narrow"/>
        <scheme val="minor"/>
      </rPr>
      <t>e</t>
    </r>
  </si>
  <si>
    <r>
      <t>Titanium, mineral concentrates:</t>
    </r>
    <r>
      <rPr>
        <vertAlign val="superscript"/>
        <sz val="12"/>
        <color rgb="FF000000"/>
        <rFont val="Aptos Narrow"/>
        <scheme val="minor"/>
      </rPr>
      <t>e</t>
    </r>
  </si>
  <si>
    <r>
      <t>Tungsten, mine, concentrate, W content</t>
    </r>
    <r>
      <rPr>
        <vertAlign val="superscript"/>
        <sz val="12"/>
        <color rgb="FF000000"/>
        <rFont val="Aptos Narrow"/>
        <scheme val="minor"/>
      </rPr>
      <t>e</t>
    </r>
  </si>
  <si>
    <r>
      <t>Zirconium, mineral concentrates</t>
    </r>
    <r>
      <rPr>
        <vertAlign val="superscript"/>
        <sz val="12"/>
        <color rgb="FF000000"/>
        <rFont val="Aptos Narrow"/>
        <scheme val="minor"/>
      </rPr>
      <t>e</t>
    </r>
  </si>
  <si>
    <r>
      <t>Cement, hydraulic</t>
    </r>
    <r>
      <rPr>
        <vertAlign val="superscript"/>
        <sz val="12"/>
        <color rgb="FF000000"/>
        <rFont val="Aptos Narrow"/>
        <scheme val="minor"/>
      </rPr>
      <t>e</t>
    </r>
  </si>
  <si>
    <r>
      <t>Clay:</t>
    </r>
    <r>
      <rPr>
        <vertAlign val="superscript"/>
        <sz val="12"/>
        <color rgb="FF000000"/>
        <rFont val="Aptos Narrow"/>
        <scheme val="minor"/>
      </rPr>
      <t>e</t>
    </r>
  </si>
  <si>
    <r>
      <t>Diatomite</t>
    </r>
    <r>
      <rPr>
        <vertAlign val="superscript"/>
        <sz val="12"/>
        <color rgb="FF000000"/>
        <rFont val="Aptos Narrow"/>
        <scheme val="minor"/>
      </rPr>
      <t>e</t>
    </r>
  </si>
  <si>
    <r>
      <t>Lime</t>
    </r>
    <r>
      <rPr>
        <vertAlign val="superscript"/>
        <sz val="12"/>
        <color rgb="FF000000"/>
        <rFont val="Aptos Narrow"/>
        <scheme val="minor"/>
      </rPr>
      <t>e</t>
    </r>
  </si>
  <si>
    <r>
      <t>Magnesite</t>
    </r>
    <r>
      <rPr>
        <vertAlign val="superscript"/>
        <sz val="12"/>
        <color rgb="FF000000"/>
        <rFont val="Aptos Narrow"/>
        <scheme val="minor"/>
      </rPr>
      <t>e, 10</t>
    </r>
  </si>
  <si>
    <r>
      <t>Nitrogen, ammonia, N content</t>
    </r>
    <r>
      <rPr>
        <vertAlign val="superscript"/>
        <sz val="12"/>
        <color rgb="FF000000"/>
        <rFont val="Aptos Narrow"/>
        <scheme val="minor"/>
      </rPr>
      <t>e</t>
    </r>
  </si>
  <si>
    <r>
      <t>Perlite</t>
    </r>
    <r>
      <rPr>
        <vertAlign val="superscript"/>
        <sz val="12"/>
        <color rgb="FF000000"/>
        <rFont val="Aptos Narrow"/>
        <scheme val="minor"/>
      </rPr>
      <t>e</t>
    </r>
  </si>
  <si>
    <r>
      <t>Phosphate rock:</t>
    </r>
    <r>
      <rPr>
        <vertAlign val="superscript"/>
        <sz val="12"/>
        <color rgb="FF000000"/>
        <rFont val="Aptos Narrow"/>
        <scheme val="minor"/>
      </rPr>
      <t>e</t>
    </r>
  </si>
  <si>
    <r>
      <t>P</t>
    </r>
    <r>
      <rPr>
        <vertAlign val="subscript"/>
        <sz val="12"/>
        <color rgb="FF000000"/>
        <rFont val="Aptos Narrow"/>
        <scheme val="minor"/>
      </rPr>
      <t>2</t>
    </r>
    <r>
      <rPr>
        <sz val="12"/>
        <color rgb="FF000000"/>
        <rFont val="Aptos Narrow"/>
        <scheme val="minor"/>
      </rPr>
      <t>O</t>
    </r>
    <r>
      <rPr>
        <vertAlign val="subscript"/>
        <sz val="12"/>
        <color rgb="FF000000"/>
        <rFont val="Aptos Narrow"/>
        <scheme val="minor"/>
      </rPr>
      <t>5</t>
    </r>
    <r>
      <rPr>
        <sz val="12"/>
        <color rgb="FF000000"/>
        <rFont val="Aptos Narrow"/>
        <scheme val="minor"/>
      </rPr>
      <t xml:space="preserve"> content</t>
    </r>
  </si>
  <si>
    <r>
      <t>Talc and related materials, chlorite, pyrophillite, steatite, talc</t>
    </r>
    <r>
      <rPr>
        <vertAlign val="superscript"/>
        <sz val="12"/>
        <color rgb="FF000000"/>
        <rFont val="Aptos Narrow"/>
        <scheme val="minor"/>
      </rPr>
      <t>e</t>
    </r>
  </si>
  <si>
    <t>Commercial plantation log harvest:</t>
  </si>
  <si>
    <t>Resource (2023)</t>
  </si>
  <si>
    <t>Hardwood log harvest</t>
  </si>
  <si>
    <t>Softwood log harvest</t>
  </si>
  <si>
    <t>Native forest log harvest</t>
  </si>
  <si>
    <t>Total logs harvested</t>
  </si>
  <si>
    <t>million cubic meters</t>
  </si>
  <si>
    <t>ABARES Aus Forest/Wood Production</t>
  </si>
  <si>
    <t>2023-2024</t>
  </si>
  <si>
    <t>Public</t>
  </si>
  <si>
    <t>Value of logs harvested:</t>
  </si>
  <si>
    <t>$ million</t>
  </si>
  <si>
    <t>Total value of logs harvested</t>
  </si>
  <si>
    <t>$ billion</t>
  </si>
  <si>
    <t>ABS Agriculture: Horticulture CSV</t>
  </si>
  <si>
    <t>tons</t>
  </si>
  <si>
    <t>Beans, fresh</t>
  </si>
  <si>
    <t>Peas</t>
  </si>
  <si>
    <t>Australia and specific states/territories</t>
  </si>
  <si>
    <t>ABS Agriculture: Broadcare Winter</t>
  </si>
  <si>
    <t>ABS Agriculture: Broadcare Summer</t>
  </si>
  <si>
    <t>million tons</t>
  </si>
  <si>
    <t>Aus Gov | Geoscience Aus: Aus Identified Mineral Resources 2024</t>
  </si>
  <si>
    <t>Metals and Minerals (2023Data)</t>
  </si>
  <si>
    <t>thousand tons</t>
  </si>
  <si>
    <t>Aus Office of the Chief Economist: Resources and Energy Quarterly Sept.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</si>
</sst>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9" formatCode="_-* #,##0_-;\-* #,##0_-;_-* &quot;-&quot;??_-;_-@_-"/>
  </numFmts>
  <fonts count="2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u/>
      <sz val="12"/>
      <color theme="1"/>
      <name val="Aptos Narrow"/>
      <family val="2"/>
      <scheme val="minor"/>
    </font>
    <font>
      <sz val="12"/>
      <color rgb="FFFF0000"/>
      <name val="Aptos Narrow (Body)"/>
    </font>
    <font>
      <b/>
      <u/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u/>
      <sz val="12"/>
      <color theme="1"/>
      <name val="Aptos Narrow"/>
      <scheme val="minor"/>
    </font>
    <font>
      <u/>
      <sz val="12"/>
      <color rgb="FF000000"/>
      <name val="Aptos Narrow"/>
      <scheme val="minor"/>
    </font>
    <font>
      <b/>
      <u/>
      <sz val="12"/>
      <color rgb="FFFF0000"/>
      <name val="Aptos Narrow"/>
      <scheme val="minor"/>
    </font>
    <font>
      <b/>
      <u/>
      <sz val="12"/>
      <color rgb="FF000000"/>
      <name val="Aptos Narrow"/>
      <scheme val="minor"/>
    </font>
    <font>
      <vertAlign val="superscript"/>
      <sz val="12"/>
      <color theme="1"/>
      <name val="Aptos Narrow"/>
      <scheme val="minor"/>
    </font>
    <font>
      <sz val="12"/>
      <name val="Aptos Narrow"/>
      <scheme val="minor"/>
    </font>
    <font>
      <vertAlign val="superscript"/>
      <sz val="12"/>
      <name val="Aptos Narrow"/>
      <scheme val="minor"/>
    </font>
    <font>
      <vertAlign val="subscript"/>
      <sz val="12"/>
      <color theme="1"/>
      <name val="Aptos Narrow"/>
      <scheme val="minor"/>
    </font>
    <font>
      <u/>
      <sz val="12"/>
      <color theme="10"/>
      <name val="Aptos Narrow"/>
      <scheme val="minor"/>
    </font>
    <font>
      <sz val="12"/>
      <color rgb="FF000000"/>
      <name val="Aptos Narrow"/>
      <family val="2"/>
      <scheme val="minor"/>
    </font>
    <font>
      <vertAlign val="superscript"/>
      <sz val="12"/>
      <color rgb="FF000000"/>
      <name val="Aptos Narrow"/>
      <scheme val="minor"/>
    </font>
    <font>
      <vertAlign val="subscript"/>
      <sz val="12"/>
      <color rgb="FF000000"/>
      <name val="Aptos Narrow"/>
      <scheme val="minor"/>
    </font>
    <font>
      <sz val="12"/>
      <color rgb="FF000000"/>
      <name val="Aptos Narrow (Body)"/>
    </font>
    <font>
      <sz val="8"/>
      <name val="Aptos Narrow"/>
      <family val="2"/>
      <scheme val="minor"/>
    </font>
    <font>
      <b/>
      <sz val="12"/>
      <color rgb="FF000000"/>
      <name val="Aptos Narrow (Body)"/>
    </font>
    <font>
      <sz val="12"/>
      <color rgb="FF222222"/>
      <name val="Aptos Narrow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/>
    </xf>
    <xf numFmtId="0" fontId="2" fillId="0" borderId="0" xfId="2"/>
    <xf numFmtId="0" fontId="0" fillId="0" borderId="0" xfId="0" applyAlignment="1"/>
    <xf numFmtId="0" fontId="2" fillId="0" borderId="0" xfId="2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3" fontId="0" fillId="0" borderId="0" xfId="0" applyNumberFormat="1"/>
    <xf numFmtId="49" fontId="7" fillId="0" borderId="1" xfId="3" applyNumberFormat="1" applyFont="1" applyBorder="1" applyAlignment="1">
      <alignment horizontal="center" vertical="center"/>
    </xf>
    <xf numFmtId="49" fontId="14" fillId="0" borderId="1" xfId="3" applyNumberFormat="1" applyFont="1" applyBorder="1" applyAlignment="1">
      <alignment horizontal="center" vertical="center"/>
    </xf>
    <xf numFmtId="49" fontId="7" fillId="0" borderId="2" xfId="3" applyNumberFormat="1" applyFont="1" applyBorder="1" applyAlignment="1">
      <alignment horizontal="center" vertical="center"/>
    </xf>
    <xf numFmtId="49" fontId="7" fillId="0" borderId="0" xfId="3" applyNumberFormat="1" applyFont="1" applyAlignment="1">
      <alignment horizontal="center" vertical="center"/>
    </xf>
    <xf numFmtId="0" fontId="7" fillId="0" borderId="0" xfId="3" applyFont="1" applyAlignment="1">
      <alignment horizontal="center" vertical="center"/>
    </xf>
    <xf numFmtId="3" fontId="7" fillId="0" borderId="0" xfId="4" applyNumberFormat="1" applyFont="1" applyFill="1" applyAlignment="1">
      <alignment horizontal="center" vertical="center"/>
    </xf>
    <xf numFmtId="37" fontId="7" fillId="0" borderId="0" xfId="4" applyNumberFormat="1" applyFont="1" applyFill="1" applyAlignment="1">
      <alignment horizontal="center" vertical="center"/>
    </xf>
    <xf numFmtId="3" fontId="7" fillId="0" borderId="0" xfId="4" applyNumberFormat="1" applyFont="1" applyFill="1" applyBorder="1" applyAlignment="1">
      <alignment horizontal="center" vertical="center"/>
    </xf>
    <xf numFmtId="3" fontId="7" fillId="0" borderId="3" xfId="4" applyNumberFormat="1" applyFont="1" applyFill="1" applyBorder="1" applyAlignment="1">
      <alignment horizontal="center" vertical="center"/>
    </xf>
    <xf numFmtId="3" fontId="7" fillId="0" borderId="2" xfId="4" applyNumberFormat="1" applyFont="1" applyFill="1" applyBorder="1" applyAlignment="1">
      <alignment horizontal="center" vertical="center"/>
    </xf>
    <xf numFmtId="3" fontId="7" fillId="0" borderId="4" xfId="4" applyNumberFormat="1" applyFont="1" applyFill="1" applyBorder="1" applyAlignment="1">
      <alignment horizontal="center" vertical="center"/>
    </xf>
    <xf numFmtId="0" fontId="17" fillId="0" borderId="0" xfId="2" applyFont="1" applyFill="1" applyAlignment="1">
      <alignment horizontal="center"/>
    </xf>
    <xf numFmtId="3" fontId="7" fillId="0" borderId="0" xfId="0" applyNumberFormat="1" applyFont="1" applyAlignment="1">
      <alignment horizontal="center"/>
    </xf>
    <xf numFmtId="0" fontId="17" fillId="0" borderId="0" xfId="2" applyFont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/>
    <xf numFmtId="49" fontId="8" fillId="0" borderId="1" xfId="0" applyNumberFormat="1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3" fontId="24" fillId="0" borderId="0" xfId="0" applyNumberFormat="1" applyFont="1"/>
    <xf numFmtId="3" fontId="25" fillId="0" borderId="0" xfId="0" applyNumberFormat="1" applyFont="1"/>
    <xf numFmtId="3" fontId="25" fillId="0" borderId="0" xfId="0" applyNumberFormat="1" applyFont="1" applyAlignment="1">
      <alignment horizontal="right"/>
    </xf>
    <xf numFmtId="169" fontId="0" fillId="0" borderId="0" xfId="1" applyNumberFormat="1" applyFont="1"/>
  </cellXfs>
  <cellStyles count="5">
    <cellStyle name="Comma" xfId="1" builtinId="3"/>
    <cellStyle name="Comma 2" xfId="4" xr:uid="{D3F63B79-2495-304D-976B-78F6439E3948}"/>
    <cellStyle name="Hyperlink" xfId="2" builtinId="8"/>
    <cellStyle name="Normal" xfId="0" builtinId="0"/>
    <cellStyle name="Normal 4" xfId="3" xr:uid="{8E5B88E8-6A5D-3841-B5E3-180E800D1B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ia.gov/international/data/world/natural-gas/dry-natural-gas-production?pd=3002&amp;p=00g&amp;u=0&amp;f=A&amp;v=mapbubble&amp;a=-&amp;i=none&amp;vo=value&amp;t=C&amp;g=none&amp;l=249--12&amp;s=315532800000&amp;e=1672531200000" TargetMode="External"/><Relationship Id="rId3" Type="http://schemas.openxmlformats.org/officeDocument/2006/relationships/hyperlink" Target="https://www.fao.org/faostat/en/" TargetMode="External"/><Relationship Id="rId7" Type="http://schemas.openxmlformats.org/officeDocument/2006/relationships/hyperlink" Target="https://www.eia.gov/international/data/world/natural-gas/dry-natural-gas-production?pd=3002&amp;p=00g&amp;u=0&amp;f=A&amp;v=mapbubble&amp;a=-&amp;i=none&amp;vo=value&amp;t=C&amp;g=none&amp;l=249--12&amp;s=315532800000&amp;e=1672531200000" TargetMode="External"/><Relationship Id="rId2" Type="http://schemas.openxmlformats.org/officeDocument/2006/relationships/hyperlink" Target="https://www.fao.org/faostat/en/" TargetMode="External"/><Relationship Id="rId1" Type="http://schemas.openxmlformats.org/officeDocument/2006/relationships/hyperlink" Target="https://www.fao.org/faostat/en/" TargetMode="External"/><Relationship Id="rId6" Type="http://schemas.openxmlformats.org/officeDocument/2006/relationships/hyperlink" Target="https://www.fao.org/fishery/statistics-query/en/capture/capture_quantity" TargetMode="External"/><Relationship Id="rId5" Type="http://schemas.openxmlformats.org/officeDocument/2006/relationships/hyperlink" Target="https://www.fao.org/faostat/en/" TargetMode="External"/><Relationship Id="rId4" Type="http://schemas.openxmlformats.org/officeDocument/2006/relationships/hyperlink" Target="https://www.fao.org/faostat/en/" TargetMode="External"/><Relationship Id="rId9" Type="http://schemas.openxmlformats.org/officeDocument/2006/relationships/hyperlink" Target="https://www.usgs.gov/centers/national-minerals-information-center/minerals-yearbook-metals-and-minerals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bs.gov.au/statistics/industry/agriculture/australian-agriculture-horticulture/latest-release" TargetMode="External"/><Relationship Id="rId18" Type="http://schemas.openxmlformats.org/officeDocument/2006/relationships/hyperlink" Target="https://www.abs.gov.au/statistics/industry/agriculture/australian-agriculture-horticulture/latest-release" TargetMode="External"/><Relationship Id="rId26" Type="http://schemas.openxmlformats.org/officeDocument/2006/relationships/hyperlink" Target="https://www.abs.gov.au/statistics/industry/agriculture/australian-agriculture-broadacre-crops/2023-24" TargetMode="External"/><Relationship Id="rId3" Type="http://schemas.openxmlformats.org/officeDocument/2006/relationships/hyperlink" Target="https://www.abs.gov.au/statistics/industry/agriculture/australian-agriculture-horticulture/latest-release" TargetMode="External"/><Relationship Id="rId21" Type="http://schemas.openxmlformats.org/officeDocument/2006/relationships/hyperlink" Target="https://www.abs.gov.au/statistics/industry/agriculture/australian-agriculture-horticulture/latest-release" TargetMode="External"/><Relationship Id="rId34" Type="http://schemas.openxmlformats.org/officeDocument/2006/relationships/hyperlink" Target="https://d28rz98at9flks.cloudfront.net/149861/149861_00_1.pdf" TargetMode="External"/><Relationship Id="rId7" Type="http://schemas.openxmlformats.org/officeDocument/2006/relationships/hyperlink" Target="https://www.abs.gov.au/statistics/industry/agriculture/australian-agriculture-horticulture/latest-release" TargetMode="External"/><Relationship Id="rId12" Type="http://schemas.openxmlformats.org/officeDocument/2006/relationships/hyperlink" Target="https://www.abs.gov.au/statistics/industry/agriculture/australian-agriculture-horticulture/latest-release" TargetMode="External"/><Relationship Id="rId17" Type="http://schemas.openxmlformats.org/officeDocument/2006/relationships/hyperlink" Target="https://www.abs.gov.au/statistics/industry/agriculture/australian-agriculture-horticulture/latest-release" TargetMode="External"/><Relationship Id="rId25" Type="http://schemas.openxmlformats.org/officeDocument/2006/relationships/hyperlink" Target="https://www.abs.gov.au/statistics/industry/agriculture/australian-agriculture-broadacre-crops/2023-24" TargetMode="External"/><Relationship Id="rId33" Type="http://schemas.openxmlformats.org/officeDocument/2006/relationships/hyperlink" Target="https://d28rz98at9flks.cloudfront.net/149861/149861_00_1.pdf" TargetMode="External"/><Relationship Id="rId2" Type="http://schemas.openxmlformats.org/officeDocument/2006/relationships/hyperlink" Target="https://daff.ent.sirsidynix.net.au/client/en_AU/search/asset/1037001/0" TargetMode="External"/><Relationship Id="rId16" Type="http://schemas.openxmlformats.org/officeDocument/2006/relationships/hyperlink" Target="https://www.abs.gov.au/statistics/industry/agriculture/australian-agriculture-horticulture/latest-release" TargetMode="External"/><Relationship Id="rId20" Type="http://schemas.openxmlformats.org/officeDocument/2006/relationships/hyperlink" Target="https://www.abs.gov.au/statistics/industry/agriculture/australian-agriculture-horticulture/latest-release" TargetMode="External"/><Relationship Id="rId29" Type="http://schemas.openxmlformats.org/officeDocument/2006/relationships/hyperlink" Target="https://d28rz98at9flks.cloudfront.net/149861/149861_00_1.pdf" TargetMode="External"/><Relationship Id="rId1" Type="http://schemas.openxmlformats.org/officeDocument/2006/relationships/hyperlink" Target="https://daff.ent.sirsidynix.net.au/client/en_AU/search/asset/1037001/0" TargetMode="External"/><Relationship Id="rId6" Type="http://schemas.openxmlformats.org/officeDocument/2006/relationships/hyperlink" Target="https://www.abs.gov.au/statistics/industry/agriculture/australian-agriculture-horticulture/latest-release" TargetMode="External"/><Relationship Id="rId11" Type="http://schemas.openxmlformats.org/officeDocument/2006/relationships/hyperlink" Target="https://www.abs.gov.au/statistics/industry/agriculture/australian-agriculture-horticulture/latest-release" TargetMode="External"/><Relationship Id="rId24" Type="http://schemas.openxmlformats.org/officeDocument/2006/relationships/hyperlink" Target="https://www.abs.gov.au/statistics/industry/agriculture/australian-agriculture-broadacre-crops/2023-24" TargetMode="External"/><Relationship Id="rId32" Type="http://schemas.openxmlformats.org/officeDocument/2006/relationships/hyperlink" Target="https://d28rz98at9flks.cloudfront.net/149861/149861_00_1.pdf" TargetMode="External"/><Relationship Id="rId5" Type="http://schemas.openxmlformats.org/officeDocument/2006/relationships/hyperlink" Target="https://www.abs.gov.au/statistics/industry/agriculture/australian-agriculture-horticulture/latest-release" TargetMode="External"/><Relationship Id="rId15" Type="http://schemas.openxmlformats.org/officeDocument/2006/relationships/hyperlink" Target="https://www.abs.gov.au/statistics/industry/agriculture/australian-agriculture-horticulture/latest-release" TargetMode="External"/><Relationship Id="rId23" Type="http://schemas.openxmlformats.org/officeDocument/2006/relationships/hyperlink" Target="https://www.abs.gov.au/statistics/industry/agriculture/australian-agriculture-broadacre-crops/2023-24" TargetMode="External"/><Relationship Id="rId28" Type="http://schemas.openxmlformats.org/officeDocument/2006/relationships/hyperlink" Target="https://www.industry.gov.au/sites/default/files/2024-09/resource_and_energy_quarterly_september_2024.pdf" TargetMode="External"/><Relationship Id="rId36" Type="http://schemas.openxmlformats.org/officeDocument/2006/relationships/hyperlink" Target="https://d28rz98at9flks.cloudfront.net/149861/149861_00_1.pdf" TargetMode="External"/><Relationship Id="rId10" Type="http://schemas.openxmlformats.org/officeDocument/2006/relationships/hyperlink" Target="https://www.abs.gov.au/statistics/industry/agriculture/australian-agriculture-horticulture/latest-release" TargetMode="External"/><Relationship Id="rId19" Type="http://schemas.openxmlformats.org/officeDocument/2006/relationships/hyperlink" Target="https://www.abs.gov.au/statistics/industry/agriculture/australian-agriculture-horticulture/latest-release" TargetMode="External"/><Relationship Id="rId31" Type="http://schemas.openxmlformats.org/officeDocument/2006/relationships/hyperlink" Target="https://d28rz98at9flks.cloudfront.net/149861/149861_00_1.pdf" TargetMode="External"/><Relationship Id="rId4" Type="http://schemas.openxmlformats.org/officeDocument/2006/relationships/hyperlink" Target="https://www.abs.gov.au/statistics/industry/agriculture/australian-agriculture-horticulture/latest-release" TargetMode="External"/><Relationship Id="rId9" Type="http://schemas.openxmlformats.org/officeDocument/2006/relationships/hyperlink" Target="https://www.abs.gov.au/statistics/industry/agriculture/australian-agriculture-horticulture/latest-release" TargetMode="External"/><Relationship Id="rId14" Type="http://schemas.openxmlformats.org/officeDocument/2006/relationships/hyperlink" Target="https://www.abs.gov.au/statistics/industry/agriculture/australian-agriculture-horticulture/latest-release" TargetMode="External"/><Relationship Id="rId22" Type="http://schemas.openxmlformats.org/officeDocument/2006/relationships/hyperlink" Target="https://www.abs.gov.au/statistics/industry/agriculture/australian-agriculture-horticulture/latest-release" TargetMode="External"/><Relationship Id="rId27" Type="http://schemas.openxmlformats.org/officeDocument/2006/relationships/hyperlink" Target="https://d28rz98at9flks.cloudfront.net/149861/149861_00_1.pdf" TargetMode="External"/><Relationship Id="rId30" Type="http://schemas.openxmlformats.org/officeDocument/2006/relationships/hyperlink" Target="https://d28rz98at9flks.cloudfront.net/149861/149861_00_1.pdf" TargetMode="External"/><Relationship Id="rId35" Type="http://schemas.openxmlformats.org/officeDocument/2006/relationships/hyperlink" Target="https://d28rz98at9flks.cloudfront.net/149861/149861_00_1.pdf" TargetMode="External"/><Relationship Id="rId8" Type="http://schemas.openxmlformats.org/officeDocument/2006/relationships/hyperlink" Target="https://www.abs.gov.au/statistics/industry/agriculture/australian-agriculture-horticulture/latest-relea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5A58C-51AE-244B-BC0A-9C8D22EA617E}">
  <dimension ref="A1:K244"/>
  <sheetViews>
    <sheetView topLeftCell="A150" zoomScale="125" workbookViewId="0">
      <selection activeCell="A2" sqref="A2"/>
    </sheetView>
  </sheetViews>
  <sheetFormatPr baseColWidth="10" defaultRowHeight="16" x14ac:dyDescent="0.2"/>
  <cols>
    <col min="1" max="1" width="63" customWidth="1"/>
    <col min="2" max="2" width="12.5" customWidth="1"/>
    <col min="3" max="3" width="19.5" customWidth="1"/>
    <col min="4" max="4" width="21" customWidth="1"/>
    <col min="5" max="5" width="33.33203125" customWidth="1"/>
    <col min="6" max="6" width="27" customWidth="1"/>
    <col min="7" max="7" width="25.6640625" customWidth="1"/>
    <col min="8" max="8" width="11" customWidth="1"/>
    <col min="9" max="9" width="26.6640625" customWidth="1"/>
  </cols>
  <sheetData>
    <row r="1" spans="1:11" x14ac:dyDescent="0.2">
      <c r="A1" s="1" t="s">
        <v>296</v>
      </c>
      <c r="B1" s="1" t="s">
        <v>17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/>
    </row>
    <row r="2" spans="1:11" x14ac:dyDescent="0.2">
      <c r="A2" s="6" t="s">
        <v>1</v>
      </c>
      <c r="B2" s="1"/>
      <c r="C2" s="1"/>
      <c r="D2" s="1"/>
      <c r="E2" s="1"/>
      <c r="F2" s="1"/>
      <c r="G2" s="1"/>
      <c r="H2" s="1"/>
      <c r="I2" s="1"/>
      <c r="J2" s="3"/>
      <c r="K2" s="3"/>
    </row>
    <row r="3" spans="1:11" x14ac:dyDescent="0.2">
      <c r="A3" s="5" t="s">
        <v>29</v>
      </c>
      <c r="B3" s="1"/>
      <c r="C3" s="1"/>
      <c r="D3" s="1"/>
      <c r="E3" s="1"/>
      <c r="F3" s="1"/>
      <c r="G3" s="1"/>
      <c r="H3" s="1"/>
      <c r="I3" s="1"/>
      <c r="J3" s="3"/>
      <c r="K3" s="3"/>
    </row>
    <row r="4" spans="1:11" x14ac:dyDescent="0.2">
      <c r="A4" s="1" t="s">
        <v>16</v>
      </c>
      <c r="B4" s="1">
        <v>28905000</v>
      </c>
      <c r="C4" s="1" t="s">
        <v>9</v>
      </c>
      <c r="D4" s="4" t="s">
        <v>10</v>
      </c>
      <c r="E4" s="1" t="s">
        <v>11</v>
      </c>
      <c r="F4" s="1" t="s">
        <v>13</v>
      </c>
      <c r="G4" s="1" t="s">
        <v>14</v>
      </c>
      <c r="H4" s="1"/>
      <c r="I4" s="1" t="s">
        <v>12</v>
      </c>
      <c r="J4" s="3"/>
      <c r="K4" s="3"/>
    </row>
    <row r="5" spans="1:11" x14ac:dyDescent="0.2">
      <c r="A5" s="1" t="s">
        <v>18</v>
      </c>
      <c r="B5" s="1">
        <v>715197</v>
      </c>
      <c r="C5" s="1" t="s">
        <v>9</v>
      </c>
      <c r="D5" s="4" t="s">
        <v>10</v>
      </c>
      <c r="E5" s="1" t="s">
        <v>11</v>
      </c>
      <c r="F5" s="1" t="s">
        <v>13</v>
      </c>
      <c r="G5" s="1" t="s">
        <v>14</v>
      </c>
      <c r="H5" s="1"/>
      <c r="I5" s="1"/>
      <c r="J5" s="3"/>
      <c r="K5" s="3"/>
    </row>
    <row r="6" spans="1:11" x14ac:dyDescent="0.2">
      <c r="A6" s="1" t="s">
        <v>19</v>
      </c>
      <c r="B6" s="1">
        <v>73651000</v>
      </c>
      <c r="C6" s="1" t="s">
        <v>20</v>
      </c>
      <c r="D6" s="4" t="s">
        <v>10</v>
      </c>
      <c r="E6" s="1" t="s">
        <v>11</v>
      </c>
      <c r="F6" s="1" t="s">
        <v>13</v>
      </c>
      <c r="G6" s="1" t="s">
        <v>14</v>
      </c>
      <c r="H6" s="1"/>
      <c r="I6" s="1"/>
      <c r="J6" s="3"/>
      <c r="K6" s="3"/>
    </row>
    <row r="7" spans="1:11" x14ac:dyDescent="0.2">
      <c r="A7" s="5" t="s">
        <v>15</v>
      </c>
      <c r="B7" s="1"/>
      <c r="C7" s="1"/>
      <c r="D7" s="1"/>
      <c r="E7" s="1"/>
      <c r="F7" s="1"/>
      <c r="G7" s="1"/>
      <c r="H7" s="1"/>
      <c r="I7" s="1"/>
      <c r="J7" s="3"/>
      <c r="K7" s="3"/>
    </row>
    <row r="8" spans="1:11" x14ac:dyDescent="0.2">
      <c r="A8" s="1" t="s">
        <v>21</v>
      </c>
      <c r="B8" s="1"/>
      <c r="C8" s="1"/>
      <c r="D8" s="1"/>
      <c r="E8" s="1"/>
      <c r="F8" s="1"/>
      <c r="G8" s="1"/>
      <c r="H8" s="1"/>
      <c r="I8" s="1" t="s">
        <v>22</v>
      </c>
      <c r="J8" s="3"/>
      <c r="K8" s="3"/>
    </row>
    <row r="9" spans="1:11" x14ac:dyDescent="0.2">
      <c r="A9" s="1" t="s">
        <v>23</v>
      </c>
      <c r="B9" s="1">
        <f>(B6/B5)</f>
        <v>102.98001809291705</v>
      </c>
      <c r="C9" s="1" t="s">
        <v>24</v>
      </c>
      <c r="D9" s="4" t="s">
        <v>10</v>
      </c>
      <c r="E9" s="1" t="s">
        <v>11</v>
      </c>
      <c r="F9" s="1" t="s">
        <v>13</v>
      </c>
      <c r="G9" s="1" t="s">
        <v>14</v>
      </c>
      <c r="H9" s="1"/>
      <c r="I9" s="1" t="s">
        <v>26</v>
      </c>
      <c r="J9" s="3"/>
      <c r="K9" s="3"/>
    </row>
    <row r="10" spans="1:11" x14ac:dyDescent="0.2">
      <c r="A10" s="1" t="s">
        <v>25</v>
      </c>
      <c r="B10" s="1"/>
      <c r="C10" s="1"/>
      <c r="D10" s="1"/>
      <c r="E10" s="1"/>
      <c r="F10" s="1"/>
      <c r="G10" s="1"/>
      <c r="H10" s="1"/>
      <c r="I10" s="1" t="s">
        <v>27</v>
      </c>
      <c r="J10" s="3"/>
      <c r="K10" s="3"/>
    </row>
    <row r="11" spans="1:11" x14ac:dyDescent="0.2">
      <c r="A11" s="1"/>
      <c r="B11" s="1"/>
      <c r="C11" s="1"/>
      <c r="D11" s="1"/>
      <c r="E11" s="1"/>
      <c r="F11" s="1"/>
      <c r="G11" s="1"/>
      <c r="H11" s="1"/>
      <c r="I11" s="1"/>
      <c r="J11" s="3"/>
      <c r="K11" s="3"/>
    </row>
    <row r="12" spans="1:11" x14ac:dyDescent="0.2">
      <c r="A12" s="6" t="s">
        <v>28</v>
      </c>
      <c r="B12" s="8"/>
      <c r="C12" s="8"/>
      <c r="D12" s="8"/>
      <c r="E12" s="8"/>
      <c r="F12" s="8"/>
      <c r="G12" s="8"/>
      <c r="H12" s="1"/>
      <c r="I12" s="1"/>
      <c r="J12" s="3"/>
      <c r="K12" s="3"/>
    </row>
    <row r="13" spans="1:11" x14ac:dyDescent="0.2">
      <c r="A13" s="10" t="s">
        <v>30</v>
      </c>
      <c r="B13" s="8">
        <f>SUM(B14:B147)</f>
        <v>271262142.54000002</v>
      </c>
      <c r="C13" s="8" t="s">
        <v>164</v>
      </c>
      <c r="D13" s="26" t="s">
        <v>10</v>
      </c>
      <c r="E13" s="8" t="s">
        <v>11</v>
      </c>
      <c r="F13" s="8" t="s">
        <v>13</v>
      </c>
      <c r="G13" s="8" t="s">
        <v>14</v>
      </c>
      <c r="H13" s="3"/>
      <c r="I13" s="3"/>
      <c r="J13" s="3"/>
      <c r="K13" s="3"/>
    </row>
    <row r="14" spans="1:11" x14ac:dyDescent="0.2">
      <c r="A14" s="9" t="s">
        <v>31</v>
      </c>
      <c r="B14" s="9">
        <v>260000</v>
      </c>
      <c r="C14" s="8" t="s">
        <v>164</v>
      </c>
      <c r="D14" s="8"/>
      <c r="E14" s="8"/>
      <c r="F14" s="8"/>
      <c r="G14" s="8"/>
      <c r="H14" s="3"/>
      <c r="I14" s="3"/>
      <c r="J14" s="3"/>
      <c r="K14" s="3"/>
    </row>
    <row r="15" spans="1:11" x14ac:dyDescent="0.2">
      <c r="A15" s="9" t="s">
        <v>32</v>
      </c>
      <c r="B15" s="9">
        <v>1146.98</v>
      </c>
      <c r="C15" s="8" t="s">
        <v>164</v>
      </c>
      <c r="D15" s="8"/>
      <c r="E15" s="8"/>
      <c r="F15" s="8"/>
      <c r="G15" s="8"/>
      <c r="H15" s="3"/>
      <c r="I15" s="3"/>
      <c r="J15" s="3"/>
      <c r="K15" s="3"/>
    </row>
    <row r="16" spans="1:11" x14ac:dyDescent="0.2">
      <c r="A16" s="9" t="s">
        <v>33</v>
      </c>
      <c r="B16" s="9">
        <v>285176</v>
      </c>
      <c r="C16" s="8" t="s">
        <v>164</v>
      </c>
      <c r="D16" s="8"/>
      <c r="E16" s="8"/>
      <c r="F16" s="8"/>
      <c r="G16" s="8"/>
      <c r="H16" s="3"/>
      <c r="I16" s="3"/>
      <c r="J16" s="3"/>
      <c r="K16" s="3"/>
    </row>
    <row r="17" spans="1:11" x14ac:dyDescent="0.2">
      <c r="A17" s="9" t="s">
        <v>34</v>
      </c>
      <c r="B17" s="9">
        <v>2495</v>
      </c>
      <c r="C17" s="8" t="s">
        <v>164</v>
      </c>
      <c r="D17" s="8"/>
      <c r="E17" s="8"/>
      <c r="F17" s="8"/>
      <c r="G17" s="8"/>
      <c r="H17" s="3"/>
      <c r="I17" s="3"/>
      <c r="J17" s="3"/>
      <c r="K17" s="3"/>
    </row>
    <row r="18" spans="1:11" x14ac:dyDescent="0.2">
      <c r="A18" s="9" t="s">
        <v>35</v>
      </c>
      <c r="B18" s="9">
        <v>5296</v>
      </c>
      <c r="C18" s="8" t="s">
        <v>164</v>
      </c>
      <c r="D18" s="8"/>
      <c r="E18" s="8"/>
      <c r="F18" s="8"/>
      <c r="G18" s="8"/>
      <c r="H18" s="3"/>
      <c r="I18" s="3"/>
      <c r="J18" s="3"/>
      <c r="K18" s="3"/>
    </row>
    <row r="19" spans="1:11" x14ac:dyDescent="0.2">
      <c r="A19" s="9" t="s">
        <v>36</v>
      </c>
      <c r="B19" s="9">
        <v>115384.84</v>
      </c>
      <c r="C19" s="8" t="s">
        <v>164</v>
      </c>
      <c r="D19" s="8"/>
      <c r="E19" s="8"/>
      <c r="F19" s="8"/>
      <c r="G19" s="8"/>
      <c r="H19" s="3"/>
      <c r="I19" s="3"/>
      <c r="J19" s="3"/>
      <c r="K19" s="3"/>
    </row>
    <row r="20" spans="1:11" x14ac:dyDescent="0.2">
      <c r="A20" s="9" t="s">
        <v>37</v>
      </c>
      <c r="B20" s="9">
        <v>374251</v>
      </c>
      <c r="C20" s="8" t="s">
        <v>164</v>
      </c>
      <c r="D20" s="8"/>
      <c r="E20" s="8"/>
      <c r="F20" s="8"/>
      <c r="G20" s="8"/>
      <c r="H20" s="3"/>
      <c r="I20" s="3"/>
      <c r="J20" s="3"/>
      <c r="K20" s="3"/>
    </row>
    <row r="21" spans="1:11" x14ac:dyDescent="0.2">
      <c r="A21" s="9" t="s">
        <v>38</v>
      </c>
      <c r="B21" s="9">
        <v>13491375</v>
      </c>
      <c r="C21" s="8" t="s">
        <v>164</v>
      </c>
      <c r="D21" s="8"/>
      <c r="E21" s="8"/>
      <c r="F21" s="8"/>
      <c r="G21" s="8"/>
      <c r="H21" s="3"/>
      <c r="I21" s="3"/>
      <c r="J21" s="3"/>
      <c r="K21" s="3"/>
    </row>
    <row r="22" spans="1:11" x14ac:dyDescent="0.2">
      <c r="A22" s="9" t="s">
        <v>39</v>
      </c>
      <c r="B22" s="9">
        <v>181169.12</v>
      </c>
      <c r="C22" s="8" t="s">
        <v>164</v>
      </c>
      <c r="D22" s="8"/>
      <c r="E22" s="8"/>
      <c r="F22" s="8"/>
      <c r="G22" s="8"/>
      <c r="H22" s="3"/>
      <c r="I22" s="3"/>
      <c r="J22" s="3"/>
      <c r="K22" s="3"/>
    </row>
    <row r="23" spans="1:11" x14ac:dyDescent="0.2">
      <c r="A23" s="9" t="s">
        <v>40</v>
      </c>
      <c r="B23" s="9">
        <v>260.06</v>
      </c>
      <c r="C23" s="8" t="s">
        <v>164</v>
      </c>
      <c r="D23" s="8"/>
      <c r="E23" s="8"/>
      <c r="F23" s="8"/>
      <c r="G23" s="8"/>
      <c r="H23" s="3"/>
      <c r="I23" s="3"/>
      <c r="J23" s="3"/>
      <c r="K23" s="3"/>
    </row>
    <row r="24" spans="1:11" x14ac:dyDescent="0.2">
      <c r="A24" s="9" t="s">
        <v>41</v>
      </c>
      <c r="B24" s="9">
        <v>20211</v>
      </c>
      <c r="C24" s="8" t="s">
        <v>164</v>
      </c>
      <c r="D24" s="8"/>
      <c r="E24" s="8"/>
      <c r="F24" s="8"/>
      <c r="G24" s="8"/>
      <c r="H24" s="3"/>
      <c r="I24" s="3"/>
      <c r="J24" s="3"/>
      <c r="K24" s="3"/>
    </row>
    <row r="25" spans="1:11" x14ac:dyDescent="0.2">
      <c r="A25" s="9" t="s">
        <v>42</v>
      </c>
      <c r="B25" s="9">
        <v>635000</v>
      </c>
      <c r="C25" s="8" t="s">
        <v>164</v>
      </c>
      <c r="D25" s="8"/>
      <c r="E25" s="8"/>
      <c r="F25" s="8"/>
      <c r="G25" s="8"/>
    </row>
    <row r="26" spans="1:11" x14ac:dyDescent="0.2">
      <c r="A26" s="9" t="s">
        <v>43</v>
      </c>
      <c r="B26" s="9">
        <v>62848</v>
      </c>
      <c r="C26" s="8" t="s">
        <v>164</v>
      </c>
      <c r="D26" s="8"/>
      <c r="E26" s="8"/>
      <c r="F26" s="8"/>
      <c r="G26" s="8"/>
    </row>
    <row r="27" spans="1:11" x14ac:dyDescent="0.2">
      <c r="A27" s="9" t="s">
        <v>44</v>
      </c>
      <c r="B27" s="9">
        <v>4923.3500000000004</v>
      </c>
      <c r="C27" s="8" t="s">
        <v>164</v>
      </c>
      <c r="D27" s="8"/>
      <c r="E27" s="8"/>
      <c r="F27" s="8"/>
      <c r="G27" s="8"/>
    </row>
    <row r="28" spans="1:11" x14ac:dyDescent="0.2">
      <c r="A28" s="9" t="s">
        <v>45</v>
      </c>
      <c r="B28" s="9">
        <v>226022</v>
      </c>
      <c r="C28" s="8" t="s">
        <v>164</v>
      </c>
      <c r="D28" s="8"/>
      <c r="E28" s="8"/>
      <c r="F28" s="8"/>
      <c r="G28" s="8"/>
    </row>
    <row r="29" spans="1:11" x14ac:dyDescent="0.2">
      <c r="A29" s="9" t="s">
        <v>46</v>
      </c>
      <c r="B29" s="9">
        <v>300715</v>
      </c>
      <c r="C29" s="8" t="s">
        <v>164</v>
      </c>
      <c r="D29" s="8"/>
      <c r="E29" s="8"/>
      <c r="F29" s="8"/>
      <c r="G29" s="8"/>
    </row>
    <row r="30" spans="1:11" x14ac:dyDescent="0.2">
      <c r="A30" s="9" t="s">
        <v>47</v>
      </c>
      <c r="B30" s="9">
        <v>134174.04</v>
      </c>
      <c r="C30" s="8" t="s">
        <v>164</v>
      </c>
      <c r="D30" s="8"/>
      <c r="E30" s="8"/>
      <c r="F30" s="8"/>
      <c r="G30" s="8"/>
    </row>
    <row r="31" spans="1:11" x14ac:dyDescent="0.2">
      <c r="A31" s="9" t="s">
        <v>48</v>
      </c>
      <c r="B31" s="9">
        <v>161209</v>
      </c>
      <c r="C31" s="8" t="s">
        <v>164</v>
      </c>
      <c r="D31" s="8"/>
      <c r="E31" s="8"/>
      <c r="F31" s="8"/>
      <c r="G31" s="8"/>
    </row>
    <row r="32" spans="1:11" x14ac:dyDescent="0.2">
      <c r="A32" s="9" t="s">
        <v>49</v>
      </c>
      <c r="B32" s="9">
        <v>15114</v>
      </c>
      <c r="C32" s="8" t="s">
        <v>164</v>
      </c>
      <c r="D32" s="8"/>
      <c r="E32" s="8"/>
      <c r="F32" s="8"/>
      <c r="G32" s="8"/>
    </row>
    <row r="33" spans="1:7" x14ac:dyDescent="0.2">
      <c r="A33" s="9" t="s">
        <v>50</v>
      </c>
      <c r="B33" s="9">
        <v>935390</v>
      </c>
      <c r="C33" s="8" t="s">
        <v>164</v>
      </c>
      <c r="D33" s="8"/>
      <c r="E33" s="8"/>
      <c r="F33" s="8"/>
      <c r="G33" s="8"/>
    </row>
    <row r="34" spans="1:7" x14ac:dyDescent="0.2">
      <c r="A34" s="9" t="s">
        <v>51</v>
      </c>
      <c r="B34" s="9">
        <v>75951</v>
      </c>
      <c r="C34" s="8" t="s">
        <v>164</v>
      </c>
      <c r="D34" s="8"/>
      <c r="E34" s="8"/>
      <c r="F34" s="8"/>
      <c r="G34" s="8"/>
    </row>
    <row r="35" spans="1:7" x14ac:dyDescent="0.2">
      <c r="A35" s="9" t="s">
        <v>52</v>
      </c>
      <c r="B35" s="8"/>
      <c r="C35" s="8" t="s">
        <v>164</v>
      </c>
      <c r="D35" s="8"/>
      <c r="E35" s="8"/>
      <c r="F35" s="8"/>
      <c r="G35" s="8"/>
    </row>
    <row r="36" spans="1:7" x14ac:dyDescent="0.2">
      <c r="A36" s="9" t="s">
        <v>53</v>
      </c>
      <c r="B36" s="9">
        <v>93469</v>
      </c>
      <c r="C36" s="8" t="s">
        <v>164</v>
      </c>
      <c r="D36" s="8"/>
      <c r="E36" s="8"/>
      <c r="F36" s="8"/>
      <c r="G36" s="8"/>
    </row>
    <row r="37" spans="1:7" x14ac:dyDescent="0.2">
      <c r="A37" s="9" t="s">
        <v>54</v>
      </c>
      <c r="B37" s="9">
        <v>571.15</v>
      </c>
      <c r="C37" s="8" t="s">
        <v>164</v>
      </c>
      <c r="D37" s="8"/>
      <c r="E37" s="8"/>
      <c r="F37" s="8"/>
      <c r="G37" s="8"/>
    </row>
    <row r="38" spans="1:7" x14ac:dyDescent="0.2">
      <c r="A38" s="9" t="s">
        <v>55</v>
      </c>
      <c r="B38" s="9">
        <v>313072.76</v>
      </c>
      <c r="C38" s="8" t="s">
        <v>164</v>
      </c>
      <c r="D38" s="8"/>
      <c r="E38" s="8"/>
      <c r="F38" s="8"/>
      <c r="G38" s="8"/>
    </row>
    <row r="39" spans="1:7" x14ac:dyDescent="0.2">
      <c r="A39" s="9" t="s">
        <v>56</v>
      </c>
      <c r="B39" s="9">
        <v>3050.82</v>
      </c>
      <c r="C39" s="8" t="s">
        <v>164</v>
      </c>
      <c r="D39" s="8"/>
      <c r="E39" s="8"/>
      <c r="F39" s="8"/>
      <c r="G39" s="8"/>
    </row>
    <row r="40" spans="1:7" x14ac:dyDescent="0.2">
      <c r="A40" s="9" t="s">
        <v>57</v>
      </c>
      <c r="B40" s="9">
        <v>39316.42</v>
      </c>
      <c r="C40" s="8" t="s">
        <v>164</v>
      </c>
      <c r="D40" s="8"/>
      <c r="E40" s="8"/>
      <c r="F40" s="8"/>
      <c r="G40" s="8"/>
    </row>
    <row r="41" spans="1:7" x14ac:dyDescent="0.2">
      <c r="A41" s="9" t="s">
        <v>58</v>
      </c>
      <c r="B41" s="9">
        <v>108703.87</v>
      </c>
      <c r="C41" s="8" t="s">
        <v>164</v>
      </c>
      <c r="D41" s="8"/>
      <c r="E41" s="8"/>
      <c r="F41" s="8"/>
      <c r="G41" s="8"/>
    </row>
    <row r="42" spans="1:7" x14ac:dyDescent="0.2">
      <c r="A42" s="9" t="s">
        <v>59</v>
      </c>
      <c r="B42" s="9">
        <v>3341.08</v>
      </c>
      <c r="C42" s="8" t="s">
        <v>164</v>
      </c>
      <c r="D42" s="8"/>
      <c r="E42" s="8"/>
      <c r="F42" s="8"/>
      <c r="G42" s="8"/>
    </row>
    <row r="43" spans="1:7" x14ac:dyDescent="0.2">
      <c r="A43" s="9" t="s">
        <v>60</v>
      </c>
      <c r="B43" s="9">
        <v>8698</v>
      </c>
      <c r="C43" s="8" t="s">
        <v>164</v>
      </c>
      <c r="D43" s="8"/>
      <c r="E43" s="8"/>
      <c r="F43" s="8"/>
      <c r="G43" s="8"/>
    </row>
    <row r="44" spans="1:7" x14ac:dyDescent="0.2">
      <c r="A44" s="9" t="s">
        <v>61</v>
      </c>
      <c r="B44" s="9">
        <v>19991.400000000001</v>
      </c>
      <c r="C44" s="8" t="s">
        <v>164</v>
      </c>
      <c r="D44" s="8"/>
      <c r="E44" s="8"/>
      <c r="F44" s="8"/>
      <c r="G44" s="8"/>
    </row>
    <row r="45" spans="1:7" x14ac:dyDescent="0.2">
      <c r="A45" s="9" t="s">
        <v>62</v>
      </c>
      <c r="B45" s="9">
        <v>71.91</v>
      </c>
      <c r="C45" s="8" t="s">
        <v>164</v>
      </c>
      <c r="D45" s="8"/>
      <c r="E45" s="8"/>
      <c r="F45" s="8"/>
      <c r="G45" s="8"/>
    </row>
    <row r="46" spans="1:7" x14ac:dyDescent="0.2">
      <c r="A46" s="9" t="s">
        <v>63</v>
      </c>
      <c r="B46" s="9">
        <v>4922</v>
      </c>
      <c r="C46" s="8" t="s">
        <v>164</v>
      </c>
      <c r="D46" s="8"/>
      <c r="E46" s="8"/>
      <c r="F46" s="8"/>
      <c r="G46" s="8"/>
    </row>
    <row r="47" spans="1:7" x14ac:dyDescent="0.2">
      <c r="A47" s="9" t="s">
        <v>64</v>
      </c>
      <c r="B47" s="9">
        <v>3050.82</v>
      </c>
      <c r="C47" s="8" t="s">
        <v>164</v>
      </c>
      <c r="D47" s="8"/>
      <c r="E47" s="8"/>
      <c r="F47" s="8"/>
      <c r="G47" s="8"/>
    </row>
    <row r="48" spans="1:7" x14ac:dyDescent="0.2">
      <c r="A48" s="9" t="s">
        <v>65</v>
      </c>
      <c r="B48" s="9">
        <v>1550060</v>
      </c>
      <c r="C48" s="8" t="s">
        <v>164</v>
      </c>
      <c r="D48" s="8"/>
      <c r="E48" s="8"/>
      <c r="F48" s="8"/>
      <c r="G48" s="8"/>
    </row>
    <row r="49" spans="1:7" x14ac:dyDescent="0.2">
      <c r="A49" s="9" t="s">
        <v>66</v>
      </c>
      <c r="B49" s="9">
        <v>76296</v>
      </c>
      <c r="C49" s="8" t="s">
        <v>164</v>
      </c>
      <c r="D49" s="8"/>
      <c r="E49" s="8"/>
      <c r="F49" s="8"/>
      <c r="G49" s="8"/>
    </row>
    <row r="50" spans="1:7" x14ac:dyDescent="0.2">
      <c r="A50" s="9" t="s">
        <v>67</v>
      </c>
      <c r="B50" s="9">
        <v>2730</v>
      </c>
      <c r="C50" s="8" t="s">
        <v>164</v>
      </c>
      <c r="D50" s="8"/>
      <c r="E50" s="8"/>
      <c r="F50" s="8"/>
      <c r="G50" s="8"/>
    </row>
    <row r="51" spans="1:7" x14ac:dyDescent="0.2">
      <c r="A51" s="9" t="s">
        <v>68</v>
      </c>
      <c r="B51" s="9">
        <v>16347.28</v>
      </c>
      <c r="C51" s="8" t="s">
        <v>164</v>
      </c>
      <c r="D51" s="8"/>
      <c r="E51" s="8"/>
      <c r="F51" s="8"/>
      <c r="G51" s="8"/>
    </row>
    <row r="52" spans="1:7" x14ac:dyDescent="0.2">
      <c r="A52" s="9" t="s">
        <v>69</v>
      </c>
      <c r="B52" s="9">
        <v>3600</v>
      </c>
      <c r="C52" s="8" t="s">
        <v>164</v>
      </c>
      <c r="D52" s="8"/>
      <c r="E52" s="8"/>
      <c r="F52" s="8"/>
      <c r="G52" s="8"/>
    </row>
    <row r="53" spans="1:7" x14ac:dyDescent="0.2">
      <c r="A53" s="9" t="s">
        <v>70</v>
      </c>
      <c r="B53" s="9">
        <v>245474.27</v>
      </c>
      <c r="C53" s="8" t="s">
        <v>164</v>
      </c>
      <c r="D53" s="8"/>
      <c r="E53" s="8"/>
      <c r="F53" s="8"/>
      <c r="G53" s="8"/>
    </row>
    <row r="54" spans="1:7" x14ac:dyDescent="0.2">
      <c r="A54" s="9" t="s">
        <v>70</v>
      </c>
      <c r="B54" s="9">
        <v>4383469</v>
      </c>
      <c r="C54" s="8" t="s">
        <v>164</v>
      </c>
      <c r="D54" s="8"/>
      <c r="E54" s="8"/>
      <c r="F54" s="8"/>
      <c r="G54" s="8"/>
    </row>
    <row r="55" spans="1:7" x14ac:dyDescent="0.2">
      <c r="A55" s="9" t="s">
        <v>71</v>
      </c>
      <c r="B55" s="9">
        <v>619.39</v>
      </c>
      <c r="C55" s="8" t="s">
        <v>164</v>
      </c>
      <c r="D55" s="8"/>
      <c r="E55" s="8"/>
      <c r="F55" s="8"/>
      <c r="G55" s="8"/>
    </row>
    <row r="56" spans="1:7" x14ac:dyDescent="0.2">
      <c r="A56" s="9" t="s">
        <v>72</v>
      </c>
      <c r="B56" s="9">
        <v>29831.05</v>
      </c>
      <c r="C56" s="8" t="s">
        <v>164</v>
      </c>
      <c r="D56" s="8"/>
      <c r="E56" s="8"/>
      <c r="F56" s="8"/>
      <c r="G56" s="8"/>
    </row>
    <row r="57" spans="1:7" x14ac:dyDescent="0.2">
      <c r="A57" s="9" t="s">
        <v>73</v>
      </c>
      <c r="B57" s="9">
        <v>3893</v>
      </c>
      <c r="C57" s="8" t="s">
        <v>164</v>
      </c>
      <c r="D57" s="8"/>
      <c r="E57" s="8"/>
      <c r="F57" s="8"/>
      <c r="G57" s="8"/>
    </row>
    <row r="58" spans="1:7" x14ac:dyDescent="0.2">
      <c r="A58" s="9" t="s">
        <v>74</v>
      </c>
      <c r="B58" s="9">
        <v>73120</v>
      </c>
      <c r="C58" s="8" t="s">
        <v>164</v>
      </c>
      <c r="D58" s="8"/>
      <c r="E58" s="8"/>
      <c r="F58" s="8"/>
      <c r="G58" s="8"/>
    </row>
    <row r="59" spans="1:7" x14ac:dyDescent="0.2">
      <c r="A59" s="9" t="s">
        <v>75</v>
      </c>
      <c r="B59" s="9">
        <v>1841222</v>
      </c>
      <c r="C59" s="8" t="s">
        <v>164</v>
      </c>
      <c r="D59" s="8"/>
      <c r="E59" s="8"/>
      <c r="F59" s="8"/>
      <c r="G59" s="8"/>
    </row>
    <row r="60" spans="1:7" x14ac:dyDescent="0.2">
      <c r="A60" s="9" t="s">
        <v>76</v>
      </c>
      <c r="B60" s="9">
        <v>145394</v>
      </c>
      <c r="C60" s="8" t="s">
        <v>164</v>
      </c>
      <c r="D60" s="8"/>
      <c r="E60" s="8"/>
      <c r="F60" s="8"/>
      <c r="G60" s="8"/>
    </row>
    <row r="61" spans="1:7" x14ac:dyDescent="0.2">
      <c r="A61" s="9" t="s">
        <v>77</v>
      </c>
      <c r="B61" s="9">
        <v>7000</v>
      </c>
      <c r="C61" s="8" t="s">
        <v>164</v>
      </c>
      <c r="D61" s="8"/>
      <c r="E61" s="8"/>
      <c r="F61" s="8"/>
      <c r="G61" s="8"/>
    </row>
    <row r="62" spans="1:7" x14ac:dyDescent="0.2">
      <c r="A62" s="9" t="s">
        <v>78</v>
      </c>
      <c r="B62" s="9">
        <v>1279707</v>
      </c>
      <c r="C62" s="8" t="s">
        <v>164</v>
      </c>
      <c r="D62" s="8"/>
      <c r="E62" s="8"/>
      <c r="F62" s="8"/>
      <c r="G62" s="8"/>
    </row>
    <row r="63" spans="1:7" x14ac:dyDescent="0.2">
      <c r="A63" s="9" t="s">
        <v>79</v>
      </c>
      <c r="B63" s="9">
        <v>386502</v>
      </c>
      <c r="C63" s="8" t="s">
        <v>164</v>
      </c>
      <c r="D63" s="8"/>
      <c r="E63" s="8"/>
      <c r="F63" s="8"/>
      <c r="G63" s="8"/>
    </row>
    <row r="64" spans="1:7" x14ac:dyDescent="0.2">
      <c r="A64" s="9" t="s">
        <v>80</v>
      </c>
      <c r="B64" s="9">
        <v>74900</v>
      </c>
      <c r="C64" s="8" t="s">
        <v>164</v>
      </c>
      <c r="D64" s="8"/>
      <c r="E64" s="8"/>
      <c r="F64" s="8"/>
      <c r="G64" s="8"/>
    </row>
    <row r="65" spans="1:7" x14ac:dyDescent="0.2">
      <c r="A65" s="9" t="s">
        <v>81</v>
      </c>
      <c r="B65" s="9">
        <v>2236234</v>
      </c>
      <c r="C65" s="8" t="s">
        <v>164</v>
      </c>
      <c r="D65" s="8"/>
      <c r="E65" s="8"/>
      <c r="F65" s="8"/>
      <c r="G65" s="8"/>
    </row>
    <row r="66" spans="1:7" x14ac:dyDescent="0.2">
      <c r="A66" s="9" t="s">
        <v>82</v>
      </c>
      <c r="B66" s="9">
        <v>1431791</v>
      </c>
      <c r="C66" s="8" t="s">
        <v>164</v>
      </c>
      <c r="D66" s="8"/>
      <c r="E66" s="8"/>
      <c r="F66" s="8"/>
      <c r="G66" s="8"/>
    </row>
    <row r="67" spans="1:7" x14ac:dyDescent="0.2">
      <c r="A67" s="9" t="s">
        <v>83</v>
      </c>
      <c r="B67" s="9">
        <v>15801.31</v>
      </c>
      <c r="C67" s="8" t="s">
        <v>164</v>
      </c>
      <c r="D67" s="8"/>
      <c r="E67" s="8"/>
      <c r="F67" s="8"/>
      <c r="G67" s="8"/>
    </row>
    <row r="68" spans="1:7" x14ac:dyDescent="0.2">
      <c r="A68" s="9" t="s">
        <v>84</v>
      </c>
      <c r="B68" s="9">
        <v>37772</v>
      </c>
      <c r="C68" s="8" t="s">
        <v>164</v>
      </c>
      <c r="D68" s="8"/>
      <c r="E68" s="8"/>
      <c r="F68" s="8"/>
      <c r="G68" s="8"/>
    </row>
    <row r="69" spans="1:7" x14ac:dyDescent="0.2">
      <c r="A69" s="9" t="s">
        <v>85</v>
      </c>
      <c r="B69" s="9">
        <v>466466</v>
      </c>
      <c r="C69" s="8" t="s">
        <v>164</v>
      </c>
      <c r="D69" s="8"/>
      <c r="E69" s="8"/>
      <c r="F69" s="8"/>
      <c r="G69" s="8"/>
    </row>
    <row r="70" spans="1:7" x14ac:dyDescent="0.2">
      <c r="A70" s="9" t="s">
        <v>86</v>
      </c>
      <c r="B70" s="9">
        <v>849249</v>
      </c>
      <c r="C70" s="8" t="s">
        <v>164</v>
      </c>
      <c r="D70" s="8"/>
      <c r="E70" s="8"/>
      <c r="F70" s="8"/>
      <c r="G70" s="8"/>
    </row>
    <row r="71" spans="1:7" x14ac:dyDescent="0.2">
      <c r="A71" s="9" t="s">
        <v>87</v>
      </c>
      <c r="B71" s="9">
        <v>15682.07</v>
      </c>
      <c r="C71" s="8" t="s">
        <v>164</v>
      </c>
      <c r="D71" s="8"/>
      <c r="E71" s="8"/>
      <c r="F71" s="8"/>
      <c r="G71" s="8"/>
    </row>
    <row r="72" spans="1:7" x14ac:dyDescent="0.2">
      <c r="A72" s="9" t="s">
        <v>88</v>
      </c>
      <c r="B72" s="9">
        <v>36623.94</v>
      </c>
      <c r="C72" s="8" t="s">
        <v>164</v>
      </c>
      <c r="D72" s="8"/>
      <c r="E72" s="8"/>
      <c r="F72" s="8"/>
      <c r="G72" s="8"/>
    </row>
    <row r="73" spans="1:7" x14ac:dyDescent="0.2">
      <c r="A73" s="9" t="s">
        <v>89</v>
      </c>
      <c r="B73" s="9">
        <v>61633</v>
      </c>
      <c r="C73" s="8" t="s">
        <v>164</v>
      </c>
      <c r="D73" s="8"/>
      <c r="E73" s="8"/>
      <c r="F73" s="8"/>
      <c r="G73" s="8"/>
    </row>
    <row r="74" spans="1:7" x14ac:dyDescent="0.2">
      <c r="A74" s="9" t="s">
        <v>90</v>
      </c>
      <c r="B74" s="8"/>
      <c r="C74" s="8" t="s">
        <v>164</v>
      </c>
      <c r="D74" s="8"/>
      <c r="E74" s="8"/>
      <c r="F74" s="8"/>
      <c r="G74" s="8"/>
    </row>
    <row r="75" spans="1:7" x14ac:dyDescent="0.2">
      <c r="A75" s="9" t="s">
        <v>91</v>
      </c>
      <c r="B75" s="9">
        <v>11008.53</v>
      </c>
      <c r="C75" s="8" t="s">
        <v>164</v>
      </c>
      <c r="D75" s="8"/>
      <c r="E75" s="8"/>
      <c r="F75" s="8"/>
      <c r="G75" s="8"/>
    </row>
    <row r="76" spans="1:7" x14ac:dyDescent="0.2">
      <c r="A76" s="9" t="s">
        <v>92</v>
      </c>
      <c r="B76" s="9">
        <v>959829</v>
      </c>
      <c r="C76" s="8" t="s">
        <v>164</v>
      </c>
      <c r="D76" s="8"/>
      <c r="E76" s="8"/>
      <c r="F76" s="8"/>
      <c r="G76" s="8"/>
    </row>
    <row r="77" spans="1:7" x14ac:dyDescent="0.2">
      <c r="A77" s="9" t="s">
        <v>93</v>
      </c>
      <c r="B77" s="9">
        <v>100536</v>
      </c>
      <c r="C77" s="8" t="s">
        <v>164</v>
      </c>
      <c r="D77" s="8"/>
      <c r="E77" s="8"/>
      <c r="F77" s="8"/>
      <c r="G77" s="8"/>
    </row>
    <row r="78" spans="1:7" x14ac:dyDescent="0.2">
      <c r="A78" s="9" t="s">
        <v>94</v>
      </c>
      <c r="B78" s="9">
        <v>255159</v>
      </c>
      <c r="C78" s="8" t="s">
        <v>164</v>
      </c>
      <c r="D78" s="8"/>
      <c r="E78" s="8"/>
      <c r="F78" s="8"/>
      <c r="G78" s="8"/>
    </row>
    <row r="79" spans="1:7" x14ac:dyDescent="0.2">
      <c r="A79" s="9" t="s">
        <v>95</v>
      </c>
      <c r="B79" s="9">
        <v>535185</v>
      </c>
      <c r="C79" s="8" t="s">
        <v>164</v>
      </c>
      <c r="D79" s="8"/>
      <c r="E79" s="8"/>
      <c r="F79" s="8"/>
      <c r="G79" s="8"/>
    </row>
    <row r="80" spans="1:7" x14ac:dyDescent="0.2">
      <c r="A80" s="9" t="s">
        <v>96</v>
      </c>
      <c r="B80" s="9">
        <v>29118</v>
      </c>
      <c r="C80" s="8" t="s">
        <v>164</v>
      </c>
      <c r="D80" s="8"/>
      <c r="E80" s="8"/>
      <c r="F80" s="8"/>
      <c r="G80" s="8"/>
    </row>
    <row r="81" spans="1:7" x14ac:dyDescent="0.2">
      <c r="A81" s="9" t="s">
        <v>97</v>
      </c>
      <c r="B81" s="9">
        <v>10781</v>
      </c>
      <c r="C81" s="8" t="s">
        <v>164</v>
      </c>
      <c r="D81" s="8"/>
      <c r="E81" s="8"/>
      <c r="F81" s="8"/>
      <c r="G81" s="8"/>
    </row>
    <row r="82" spans="1:7" x14ac:dyDescent="0.2">
      <c r="A82" s="9" t="s">
        <v>98</v>
      </c>
      <c r="B82" s="9">
        <v>1071.06</v>
      </c>
      <c r="C82" s="8" t="s">
        <v>164</v>
      </c>
      <c r="D82" s="8"/>
      <c r="E82" s="8"/>
      <c r="F82" s="8"/>
      <c r="G82" s="8"/>
    </row>
    <row r="83" spans="1:7" x14ac:dyDescent="0.2">
      <c r="A83" s="9" t="s">
        <v>99</v>
      </c>
      <c r="B83" s="8"/>
      <c r="C83" s="8" t="s">
        <v>164</v>
      </c>
      <c r="D83" s="8"/>
      <c r="E83" s="8"/>
      <c r="F83" s="8"/>
      <c r="G83" s="8"/>
    </row>
    <row r="84" spans="1:7" x14ac:dyDescent="0.2">
      <c r="A84" s="9" t="s">
        <v>100</v>
      </c>
      <c r="B84" s="9">
        <v>48400</v>
      </c>
      <c r="C84" s="8" t="s">
        <v>164</v>
      </c>
      <c r="D84" s="8"/>
      <c r="E84" s="8"/>
      <c r="F84" s="8"/>
      <c r="G84" s="8"/>
    </row>
    <row r="85" spans="1:7" x14ac:dyDescent="0.2">
      <c r="A85" s="9" t="s">
        <v>101</v>
      </c>
      <c r="B85" s="8"/>
      <c r="C85" s="8" t="s">
        <v>164</v>
      </c>
      <c r="D85" s="8"/>
      <c r="E85" s="8"/>
      <c r="F85" s="8"/>
      <c r="G85" s="8"/>
    </row>
    <row r="86" spans="1:7" x14ac:dyDescent="0.2">
      <c r="A86" s="9" t="s">
        <v>102</v>
      </c>
      <c r="B86" s="8"/>
      <c r="C86" s="8" t="s">
        <v>164</v>
      </c>
      <c r="D86" s="8"/>
      <c r="E86" s="8"/>
      <c r="F86" s="8"/>
      <c r="G86" s="8"/>
    </row>
    <row r="87" spans="1:7" x14ac:dyDescent="0.2">
      <c r="A87" s="9" t="s">
        <v>103</v>
      </c>
      <c r="B87" s="9">
        <v>7511.7</v>
      </c>
      <c r="C87" s="8" t="s">
        <v>164</v>
      </c>
      <c r="D87" s="8"/>
      <c r="E87" s="8"/>
      <c r="F87" s="8"/>
      <c r="G87" s="8"/>
    </row>
    <row r="88" spans="1:7" x14ac:dyDescent="0.2">
      <c r="A88" s="9" t="s">
        <v>104</v>
      </c>
      <c r="B88" s="9">
        <v>78625.350000000006</v>
      </c>
      <c r="C88" s="8" t="s">
        <v>164</v>
      </c>
      <c r="D88" s="8"/>
      <c r="E88" s="8"/>
      <c r="F88" s="8"/>
      <c r="G88" s="8"/>
    </row>
    <row r="89" spans="1:7" x14ac:dyDescent="0.2">
      <c r="A89" s="9" t="s">
        <v>105</v>
      </c>
      <c r="B89" s="9">
        <v>21760</v>
      </c>
      <c r="C89" s="8" t="s">
        <v>164</v>
      </c>
      <c r="D89" s="8"/>
      <c r="E89" s="8"/>
      <c r="F89" s="8"/>
      <c r="G89" s="8"/>
    </row>
    <row r="90" spans="1:7" x14ac:dyDescent="0.2">
      <c r="A90" s="9" t="s">
        <v>106</v>
      </c>
      <c r="B90" s="9">
        <v>62202</v>
      </c>
      <c r="C90" s="8" t="s">
        <v>164</v>
      </c>
      <c r="D90" s="8"/>
      <c r="E90" s="8"/>
      <c r="F90" s="8"/>
      <c r="G90" s="8"/>
    </row>
    <row r="91" spans="1:7" x14ac:dyDescent="0.2">
      <c r="A91" s="9" t="s">
        <v>107</v>
      </c>
      <c r="B91" s="9">
        <v>92450</v>
      </c>
      <c r="C91" s="8" t="s">
        <v>164</v>
      </c>
      <c r="D91" s="8"/>
      <c r="E91" s="8"/>
      <c r="F91" s="8"/>
      <c r="G91" s="8"/>
    </row>
    <row r="92" spans="1:7" x14ac:dyDescent="0.2">
      <c r="A92" s="9" t="s">
        <v>108</v>
      </c>
      <c r="B92" s="9">
        <v>313809</v>
      </c>
      <c r="C92" s="8" t="s">
        <v>164</v>
      </c>
      <c r="D92" s="8"/>
      <c r="E92" s="8"/>
      <c r="F92" s="8"/>
      <c r="G92" s="8"/>
    </row>
    <row r="93" spans="1:7" x14ac:dyDescent="0.2">
      <c r="A93" s="9" t="s">
        <v>109</v>
      </c>
      <c r="B93" s="9">
        <v>25448</v>
      </c>
      <c r="C93" s="8" t="s">
        <v>164</v>
      </c>
      <c r="D93" s="8"/>
      <c r="E93" s="8"/>
      <c r="F93" s="8"/>
      <c r="G93" s="8"/>
    </row>
    <row r="94" spans="1:7" x14ac:dyDescent="0.2">
      <c r="A94" s="9" t="s">
        <v>110</v>
      </c>
      <c r="B94" s="9">
        <v>3646</v>
      </c>
      <c r="C94" s="8" t="s">
        <v>164</v>
      </c>
      <c r="D94" s="8"/>
      <c r="E94" s="8"/>
      <c r="F94" s="8"/>
      <c r="G94" s="8"/>
    </row>
    <row r="95" spans="1:7" x14ac:dyDescent="0.2">
      <c r="A95" s="9" t="s">
        <v>111</v>
      </c>
      <c r="B95" s="9">
        <v>72178</v>
      </c>
      <c r="C95" s="8" t="s">
        <v>164</v>
      </c>
      <c r="D95" s="8"/>
      <c r="E95" s="8"/>
      <c r="F95" s="8"/>
      <c r="G95" s="8"/>
    </row>
    <row r="96" spans="1:7" x14ac:dyDescent="0.2">
      <c r="A96" s="9" t="s">
        <v>112</v>
      </c>
      <c r="B96" s="9">
        <v>1516.55</v>
      </c>
      <c r="C96" s="8" t="s">
        <v>164</v>
      </c>
      <c r="D96" s="8"/>
      <c r="E96" s="8"/>
      <c r="F96" s="8"/>
      <c r="G96" s="8"/>
    </row>
    <row r="97" spans="1:7" x14ac:dyDescent="0.2">
      <c r="A97" s="9" t="s">
        <v>113</v>
      </c>
      <c r="B97" s="9">
        <v>24045</v>
      </c>
      <c r="C97" s="8" t="s">
        <v>164</v>
      </c>
      <c r="D97" s="8"/>
      <c r="E97" s="8"/>
      <c r="F97" s="8"/>
      <c r="G97" s="8"/>
    </row>
    <row r="98" spans="1:7" x14ac:dyDescent="0.2">
      <c r="A98" s="9" t="s">
        <v>114</v>
      </c>
      <c r="B98" s="9">
        <v>9030</v>
      </c>
      <c r="C98" s="8" t="s">
        <v>164</v>
      </c>
      <c r="D98" s="8"/>
      <c r="E98" s="8"/>
      <c r="F98" s="8"/>
      <c r="G98" s="8"/>
    </row>
    <row r="99" spans="1:7" x14ac:dyDescent="0.2">
      <c r="A99" s="9" t="s">
        <v>115</v>
      </c>
      <c r="B99" s="9">
        <v>1462975</v>
      </c>
      <c r="C99" s="8" t="s">
        <v>164</v>
      </c>
      <c r="D99" s="8"/>
      <c r="E99" s="8"/>
      <c r="F99" s="8"/>
      <c r="G99" s="8"/>
    </row>
    <row r="100" spans="1:7" x14ac:dyDescent="0.2">
      <c r="A100" s="9" t="s">
        <v>116</v>
      </c>
      <c r="B100" s="9">
        <v>155417</v>
      </c>
      <c r="C100" s="8" t="s">
        <v>164</v>
      </c>
      <c r="D100" s="8"/>
      <c r="E100" s="8"/>
      <c r="F100" s="8"/>
      <c r="G100" s="8"/>
    </row>
    <row r="101" spans="1:7" x14ac:dyDescent="0.2">
      <c r="A101" s="9" t="s">
        <v>117</v>
      </c>
      <c r="B101" s="8"/>
      <c r="C101" s="8" t="s">
        <v>164</v>
      </c>
      <c r="D101" s="8"/>
      <c r="E101" s="8"/>
      <c r="F101" s="8"/>
      <c r="G101" s="8"/>
    </row>
    <row r="102" spans="1:7" x14ac:dyDescent="0.2">
      <c r="A102" s="9" t="s">
        <v>118</v>
      </c>
      <c r="B102" s="9">
        <v>8917862</v>
      </c>
      <c r="C102" s="8" t="s">
        <v>164</v>
      </c>
      <c r="D102" s="8"/>
      <c r="E102" s="8"/>
      <c r="F102" s="8"/>
      <c r="G102" s="8"/>
    </row>
    <row r="103" spans="1:7" x14ac:dyDescent="0.2">
      <c r="A103" s="9" t="s">
        <v>119</v>
      </c>
      <c r="B103" s="9">
        <v>646.66999999999996</v>
      </c>
      <c r="C103" s="8" t="s">
        <v>164</v>
      </c>
      <c r="D103" s="8"/>
      <c r="E103" s="8"/>
      <c r="F103" s="8"/>
      <c r="G103" s="8"/>
    </row>
    <row r="104" spans="1:7" x14ac:dyDescent="0.2">
      <c r="A104" s="9" t="s">
        <v>120</v>
      </c>
      <c r="B104" s="9">
        <v>259403.14</v>
      </c>
      <c r="C104" s="8" t="s">
        <v>164</v>
      </c>
      <c r="D104" s="8"/>
      <c r="E104" s="8"/>
      <c r="F104" s="8"/>
      <c r="G104" s="8"/>
    </row>
    <row r="105" spans="1:7" x14ac:dyDescent="0.2">
      <c r="A105" s="9" t="s">
        <v>121</v>
      </c>
      <c r="B105" s="9">
        <v>10895.77</v>
      </c>
      <c r="C105" s="8" t="s">
        <v>164</v>
      </c>
      <c r="D105" s="8"/>
      <c r="E105" s="8"/>
      <c r="F105" s="8"/>
      <c r="G105" s="8"/>
    </row>
    <row r="106" spans="1:7" x14ac:dyDescent="0.2">
      <c r="A106" s="9" t="s">
        <v>122</v>
      </c>
      <c r="B106" s="9">
        <v>186834.78</v>
      </c>
      <c r="C106" s="8" t="s">
        <v>164</v>
      </c>
      <c r="D106" s="8"/>
      <c r="E106" s="8"/>
      <c r="F106" s="8"/>
      <c r="G106" s="8"/>
    </row>
    <row r="107" spans="1:7" x14ac:dyDescent="0.2">
      <c r="A107" s="9" t="s">
        <v>123</v>
      </c>
      <c r="B107" s="9">
        <v>8467000</v>
      </c>
      <c r="C107" s="8" t="s">
        <v>164</v>
      </c>
      <c r="D107" s="8"/>
      <c r="E107" s="8"/>
      <c r="F107" s="8"/>
      <c r="G107" s="8"/>
    </row>
    <row r="108" spans="1:7" x14ac:dyDescent="0.2">
      <c r="A108" s="9" t="s">
        <v>124</v>
      </c>
      <c r="B108" s="9">
        <v>496633</v>
      </c>
      <c r="C108" s="8" t="s">
        <v>164</v>
      </c>
      <c r="D108" s="8"/>
      <c r="E108" s="8"/>
      <c r="F108" s="8"/>
      <c r="G108" s="8"/>
    </row>
    <row r="109" spans="1:7" x14ac:dyDescent="0.2">
      <c r="A109" s="9" t="s">
        <v>125</v>
      </c>
      <c r="B109" s="9">
        <v>28643.7</v>
      </c>
      <c r="C109" s="8" t="s">
        <v>164</v>
      </c>
      <c r="D109" s="8"/>
      <c r="E109" s="8"/>
      <c r="F109" s="8"/>
      <c r="G109" s="8"/>
    </row>
    <row r="110" spans="1:7" x14ac:dyDescent="0.2">
      <c r="A110" s="9" t="s">
        <v>126</v>
      </c>
      <c r="B110" s="9">
        <v>3615.68</v>
      </c>
      <c r="C110" s="8" t="s">
        <v>164</v>
      </c>
      <c r="D110" s="8"/>
      <c r="E110" s="8"/>
      <c r="F110" s="8"/>
      <c r="G110" s="8"/>
    </row>
    <row r="111" spans="1:7" x14ac:dyDescent="0.2">
      <c r="A111" s="9" t="s">
        <v>127</v>
      </c>
      <c r="B111" s="9">
        <v>2900000</v>
      </c>
      <c r="C111" s="8" t="s">
        <v>164</v>
      </c>
      <c r="D111" s="8"/>
      <c r="E111" s="8"/>
      <c r="F111" s="8"/>
      <c r="G111" s="8"/>
    </row>
    <row r="112" spans="1:7" x14ac:dyDescent="0.2">
      <c r="A112" s="9" t="s">
        <v>128</v>
      </c>
      <c r="B112" s="9">
        <v>95115.89</v>
      </c>
      <c r="C112" s="8" t="s">
        <v>164</v>
      </c>
      <c r="D112" s="8"/>
      <c r="E112" s="8"/>
      <c r="F112" s="8"/>
      <c r="G112" s="8"/>
    </row>
    <row r="113" spans="1:7" x14ac:dyDescent="0.2">
      <c r="A113" s="9" t="s">
        <v>129</v>
      </c>
      <c r="B113" s="9">
        <v>324000</v>
      </c>
      <c r="C113" s="8" t="s">
        <v>164</v>
      </c>
      <c r="D113" s="8"/>
      <c r="E113" s="8"/>
      <c r="F113" s="8"/>
      <c r="G113" s="8"/>
    </row>
    <row r="114" spans="1:7" x14ac:dyDescent="0.2">
      <c r="A114" s="9" t="s">
        <v>130</v>
      </c>
      <c r="B114" s="9">
        <v>2326266</v>
      </c>
      <c r="C114" s="8" t="s">
        <v>164</v>
      </c>
      <c r="D114" s="8"/>
      <c r="E114" s="8"/>
      <c r="F114" s="8"/>
      <c r="G114" s="8"/>
    </row>
    <row r="115" spans="1:7" x14ac:dyDescent="0.2">
      <c r="A115" s="9" t="s">
        <v>131</v>
      </c>
      <c r="B115" s="9">
        <v>52000</v>
      </c>
      <c r="C115" s="8" t="s">
        <v>164</v>
      </c>
      <c r="D115" s="8"/>
      <c r="E115" s="8"/>
      <c r="F115" s="8"/>
      <c r="G115" s="8"/>
    </row>
    <row r="116" spans="1:7" x14ac:dyDescent="0.2">
      <c r="A116" s="9" t="s">
        <v>132</v>
      </c>
      <c r="B116" s="9">
        <v>6674</v>
      </c>
      <c r="C116" s="8" t="s">
        <v>164</v>
      </c>
      <c r="D116" s="8"/>
      <c r="E116" s="8"/>
      <c r="F116" s="8"/>
      <c r="G116" s="8"/>
    </row>
    <row r="117" spans="1:7" x14ac:dyDescent="0.2">
      <c r="A117" s="9" t="s">
        <v>133</v>
      </c>
      <c r="B117" s="9">
        <v>65824</v>
      </c>
      <c r="C117" s="8" t="s">
        <v>164</v>
      </c>
      <c r="D117" s="8"/>
      <c r="E117" s="8"/>
      <c r="F117" s="8"/>
      <c r="G117" s="8"/>
    </row>
    <row r="118" spans="1:7" x14ac:dyDescent="0.2">
      <c r="A118" s="9" t="s">
        <v>134</v>
      </c>
      <c r="B118" s="9">
        <v>16167</v>
      </c>
      <c r="C118" s="8" t="s">
        <v>164</v>
      </c>
      <c r="D118" s="8"/>
      <c r="E118" s="8"/>
      <c r="F118" s="8"/>
      <c r="G118" s="8"/>
    </row>
    <row r="119" spans="1:7" x14ac:dyDescent="0.2">
      <c r="A119" s="9" t="s">
        <v>135</v>
      </c>
      <c r="B119" s="9">
        <v>32589391</v>
      </c>
      <c r="C119" s="8" t="s">
        <v>164</v>
      </c>
      <c r="D119" s="8"/>
      <c r="E119" s="8"/>
      <c r="F119" s="8"/>
      <c r="G119" s="8"/>
    </row>
    <row r="120" spans="1:7" x14ac:dyDescent="0.2">
      <c r="A120" s="9" t="s">
        <v>136</v>
      </c>
      <c r="B120" s="9">
        <v>37045</v>
      </c>
      <c r="C120" s="8" t="s">
        <v>164</v>
      </c>
      <c r="D120" s="8"/>
      <c r="E120" s="8"/>
      <c r="F120" s="8"/>
      <c r="G120" s="8"/>
    </row>
    <row r="121" spans="1:7" x14ac:dyDescent="0.2">
      <c r="A121" s="9" t="s">
        <v>137</v>
      </c>
      <c r="B121" s="9">
        <v>91458</v>
      </c>
      <c r="C121" s="8" t="s">
        <v>164</v>
      </c>
      <c r="D121" s="8"/>
      <c r="E121" s="8"/>
      <c r="F121" s="8"/>
      <c r="G121" s="8"/>
    </row>
    <row r="122" spans="1:7" x14ac:dyDescent="0.2">
      <c r="A122" s="9" t="s">
        <v>138</v>
      </c>
      <c r="B122" s="9">
        <v>198415</v>
      </c>
      <c r="C122" s="8" t="s">
        <v>164</v>
      </c>
      <c r="D122" s="8"/>
      <c r="E122" s="8"/>
      <c r="F122" s="8"/>
      <c r="G122" s="8"/>
    </row>
    <row r="123" spans="1:7" x14ac:dyDescent="0.2">
      <c r="A123" s="9" t="s">
        <v>139</v>
      </c>
      <c r="B123" s="9">
        <v>321736</v>
      </c>
      <c r="C123" s="8" t="s">
        <v>164</v>
      </c>
      <c r="D123" s="8"/>
      <c r="E123" s="8"/>
      <c r="F123" s="8"/>
      <c r="G123" s="8"/>
    </row>
    <row r="124" spans="1:7" x14ac:dyDescent="0.2">
      <c r="A124" s="9" t="s">
        <v>140</v>
      </c>
      <c r="B124" s="9">
        <v>113707</v>
      </c>
      <c r="C124" s="8" t="s">
        <v>164</v>
      </c>
      <c r="D124" s="8"/>
      <c r="E124" s="8"/>
      <c r="F124" s="8"/>
      <c r="G124" s="8"/>
    </row>
    <row r="125" spans="1:7" x14ac:dyDescent="0.2">
      <c r="A125" s="9" t="s">
        <v>141</v>
      </c>
      <c r="B125" s="9">
        <v>12600</v>
      </c>
      <c r="C125" s="8" t="s">
        <v>164</v>
      </c>
      <c r="D125" s="8"/>
      <c r="E125" s="8"/>
      <c r="F125" s="8"/>
      <c r="G125" s="8"/>
    </row>
    <row r="126" spans="1:7" x14ac:dyDescent="0.2">
      <c r="A126" s="9" t="s">
        <v>142</v>
      </c>
      <c r="B126" s="8"/>
      <c r="C126" s="8" t="s">
        <v>164</v>
      </c>
      <c r="D126" s="8"/>
      <c r="E126" s="8"/>
      <c r="F126" s="8"/>
      <c r="G126" s="8"/>
    </row>
    <row r="127" spans="1:7" x14ac:dyDescent="0.2">
      <c r="A127" s="9" t="s">
        <v>143</v>
      </c>
      <c r="B127" s="9">
        <v>7824.79</v>
      </c>
      <c r="C127" s="8" t="s">
        <v>164</v>
      </c>
      <c r="D127" s="8"/>
      <c r="E127" s="8"/>
      <c r="F127" s="8"/>
      <c r="G127" s="8"/>
    </row>
    <row r="128" spans="1:7" x14ac:dyDescent="0.2">
      <c r="A128" s="9" t="s">
        <v>144</v>
      </c>
      <c r="B128" s="9">
        <v>4669.78</v>
      </c>
      <c r="C128" s="8" t="s">
        <v>164</v>
      </c>
      <c r="D128" s="8"/>
      <c r="E128" s="8"/>
      <c r="F128" s="8"/>
      <c r="G128" s="8"/>
    </row>
    <row r="129" spans="1:7" x14ac:dyDescent="0.2">
      <c r="A129" s="9" t="s">
        <v>145</v>
      </c>
      <c r="B129" s="9">
        <v>171946.18</v>
      </c>
      <c r="C129" s="8" t="s">
        <v>164</v>
      </c>
      <c r="D129" s="8"/>
      <c r="E129" s="8"/>
      <c r="F129" s="8"/>
      <c r="G129" s="8"/>
    </row>
    <row r="130" spans="1:7" x14ac:dyDescent="0.2">
      <c r="A130" s="9" t="s">
        <v>146</v>
      </c>
      <c r="B130" s="9">
        <v>41199486</v>
      </c>
      <c r="C130" s="8" t="s">
        <v>164</v>
      </c>
      <c r="D130" s="8"/>
      <c r="E130" s="8"/>
      <c r="F130" s="8"/>
      <c r="G130" s="8"/>
    </row>
    <row r="131" spans="1:7" x14ac:dyDescent="0.2">
      <c r="A131" s="9" t="s">
        <v>147</v>
      </c>
      <c r="B131" s="9">
        <v>2236234</v>
      </c>
      <c r="C131" s="8" t="s">
        <v>164</v>
      </c>
      <c r="D131" s="8"/>
      <c r="E131" s="8"/>
      <c r="F131" s="8"/>
      <c r="G131" s="8"/>
    </row>
    <row r="132" spans="1:7" x14ac:dyDescent="0.2">
      <c r="A132" s="9" t="s">
        <v>148</v>
      </c>
      <c r="B132" s="9">
        <v>59043989</v>
      </c>
      <c r="C132" s="8" t="s">
        <v>164</v>
      </c>
      <c r="D132" s="8"/>
      <c r="E132" s="8"/>
      <c r="F132" s="8"/>
      <c r="G132" s="8"/>
    </row>
    <row r="133" spans="1:7" x14ac:dyDescent="0.2">
      <c r="A133" s="9" t="s">
        <v>149</v>
      </c>
      <c r="B133" s="9">
        <v>816821.06</v>
      </c>
      <c r="C133" s="8" t="s">
        <v>164</v>
      </c>
      <c r="D133" s="8"/>
      <c r="E133" s="8"/>
      <c r="F133" s="8"/>
      <c r="G133" s="8"/>
    </row>
    <row r="134" spans="1:7" x14ac:dyDescent="0.2">
      <c r="A134" s="9" t="s">
        <v>150</v>
      </c>
      <c r="B134" s="9">
        <v>245474.27</v>
      </c>
      <c r="C134" s="8" t="s">
        <v>164</v>
      </c>
      <c r="D134" s="8"/>
      <c r="E134" s="8"/>
      <c r="F134" s="8"/>
      <c r="G134" s="8"/>
    </row>
    <row r="135" spans="1:7" x14ac:dyDescent="0.2">
      <c r="A135" s="9" t="s">
        <v>151</v>
      </c>
      <c r="B135" s="9">
        <v>1027600</v>
      </c>
      <c r="C135" s="8" t="s">
        <v>164</v>
      </c>
      <c r="D135" s="8"/>
      <c r="E135" s="8"/>
      <c r="F135" s="8"/>
      <c r="G135" s="8"/>
    </row>
    <row r="136" spans="1:7" x14ac:dyDescent="0.2">
      <c r="A136" s="9" t="s">
        <v>152</v>
      </c>
      <c r="B136" s="9">
        <v>4017961.51</v>
      </c>
      <c r="C136" s="8" t="s">
        <v>164</v>
      </c>
      <c r="D136" s="8"/>
      <c r="E136" s="8"/>
      <c r="F136" s="8"/>
      <c r="G136" s="8"/>
    </row>
    <row r="137" spans="1:7" x14ac:dyDescent="0.2">
      <c r="A137" s="9" t="s">
        <v>153</v>
      </c>
      <c r="B137" s="9">
        <v>1463274.38</v>
      </c>
      <c r="C137" s="8" t="s">
        <v>164</v>
      </c>
      <c r="D137" s="8"/>
      <c r="E137" s="8"/>
      <c r="F137" s="8"/>
      <c r="G137" s="8"/>
    </row>
    <row r="138" spans="1:7" x14ac:dyDescent="0.2">
      <c r="A138" s="9" t="s">
        <v>154</v>
      </c>
      <c r="B138" s="9">
        <v>5082826.43</v>
      </c>
      <c r="C138" s="8" t="s">
        <v>164</v>
      </c>
      <c r="D138" s="8"/>
      <c r="E138" s="8"/>
      <c r="F138" s="8"/>
      <c r="G138" s="8"/>
    </row>
    <row r="139" spans="1:7" x14ac:dyDescent="0.2">
      <c r="A139" s="9" t="s">
        <v>155</v>
      </c>
      <c r="B139" s="9">
        <v>8467000</v>
      </c>
      <c r="C139" s="8" t="s">
        <v>164</v>
      </c>
      <c r="D139" s="8"/>
      <c r="E139" s="8"/>
      <c r="F139" s="8"/>
      <c r="G139" s="8"/>
    </row>
    <row r="140" spans="1:7" x14ac:dyDescent="0.2">
      <c r="A140" s="9" t="s">
        <v>156</v>
      </c>
      <c r="B140" s="9">
        <v>6356218.2000000002</v>
      </c>
      <c r="C140" s="8" t="s">
        <v>164</v>
      </c>
      <c r="D140" s="8"/>
      <c r="E140" s="8"/>
      <c r="F140" s="8"/>
      <c r="G140" s="8"/>
    </row>
    <row r="141" spans="1:7" x14ac:dyDescent="0.2">
      <c r="A141" s="9" t="s">
        <v>157</v>
      </c>
      <c r="B141" s="9">
        <v>3737257.6</v>
      </c>
      <c r="C141" s="8" t="s">
        <v>164</v>
      </c>
      <c r="D141" s="8"/>
      <c r="E141" s="8"/>
      <c r="F141" s="8"/>
      <c r="G141" s="8"/>
    </row>
    <row r="142" spans="1:7" x14ac:dyDescent="0.2">
      <c r="A142" s="9" t="s">
        <v>158</v>
      </c>
      <c r="B142" s="9">
        <v>5194121.91</v>
      </c>
      <c r="C142" s="8" t="s">
        <v>164</v>
      </c>
      <c r="D142" s="8"/>
      <c r="E142" s="8"/>
      <c r="F142" s="8"/>
      <c r="G142" s="8"/>
    </row>
    <row r="143" spans="1:7" x14ac:dyDescent="0.2">
      <c r="A143" s="9" t="s">
        <v>159</v>
      </c>
      <c r="B143" s="9">
        <v>1554433</v>
      </c>
      <c r="C143" s="8" t="s">
        <v>164</v>
      </c>
      <c r="D143" s="8"/>
      <c r="E143" s="8"/>
      <c r="F143" s="8"/>
      <c r="G143" s="8"/>
    </row>
    <row r="144" spans="1:7" x14ac:dyDescent="0.2">
      <c r="A144" s="9" t="s">
        <v>160</v>
      </c>
      <c r="B144" s="9">
        <v>887021</v>
      </c>
      <c r="C144" s="8" t="s">
        <v>164</v>
      </c>
      <c r="D144" s="8"/>
      <c r="E144" s="8"/>
      <c r="F144" s="8"/>
      <c r="G144" s="8"/>
    </row>
    <row r="145" spans="1:7" x14ac:dyDescent="0.2">
      <c r="A145" s="9" t="s">
        <v>161</v>
      </c>
      <c r="B145" s="9">
        <v>32605558</v>
      </c>
      <c r="C145" s="8" t="s">
        <v>164</v>
      </c>
      <c r="D145" s="8"/>
      <c r="E145" s="8"/>
      <c r="F145" s="8"/>
      <c r="G145" s="8"/>
    </row>
    <row r="146" spans="1:7" x14ac:dyDescent="0.2">
      <c r="A146" s="9" t="s">
        <v>162</v>
      </c>
      <c r="B146" s="9">
        <v>314586.33</v>
      </c>
      <c r="C146" s="8" t="s">
        <v>164</v>
      </c>
      <c r="D146" s="8"/>
      <c r="E146" s="8"/>
      <c r="F146" s="8"/>
      <c r="G146" s="8"/>
    </row>
    <row r="147" spans="1:7" x14ac:dyDescent="0.2">
      <c r="A147" s="9" t="s">
        <v>163</v>
      </c>
      <c r="B147" s="9">
        <v>1866416.35</v>
      </c>
      <c r="C147" s="8" t="s">
        <v>164</v>
      </c>
      <c r="D147" s="8"/>
      <c r="E147" s="8"/>
      <c r="F147" s="8"/>
      <c r="G147" s="8"/>
    </row>
    <row r="148" spans="1:7" x14ac:dyDescent="0.2">
      <c r="A148" s="11" t="s">
        <v>165</v>
      </c>
      <c r="B148" s="8"/>
      <c r="C148" s="8" t="s">
        <v>166</v>
      </c>
      <c r="D148" s="8"/>
      <c r="E148" s="8"/>
      <c r="F148" s="8"/>
      <c r="G148" s="8"/>
    </row>
    <row r="149" spans="1:7" x14ac:dyDescent="0.2">
      <c r="A149" s="12" t="s">
        <v>167</v>
      </c>
      <c r="B149" s="8"/>
      <c r="C149" s="8"/>
      <c r="D149" s="8"/>
      <c r="E149" s="8"/>
      <c r="F149" s="8"/>
      <c r="G149" s="8"/>
    </row>
    <row r="150" spans="1:7" x14ac:dyDescent="0.2">
      <c r="A150" s="13" t="s">
        <v>168</v>
      </c>
      <c r="B150" s="8"/>
      <c r="C150" s="8"/>
      <c r="D150" s="8"/>
      <c r="E150" s="8"/>
      <c r="F150" s="8"/>
      <c r="G150" s="8"/>
    </row>
    <row r="151" spans="1:7" x14ac:dyDescent="0.2">
      <c r="A151" s="10" t="s">
        <v>169</v>
      </c>
      <c r="B151" s="27">
        <v>166000</v>
      </c>
      <c r="C151" s="8" t="s">
        <v>164</v>
      </c>
      <c r="D151" s="28" t="s">
        <v>170</v>
      </c>
      <c r="E151" s="8" t="s">
        <v>171</v>
      </c>
      <c r="F151" s="8" t="s">
        <v>13</v>
      </c>
      <c r="G151" s="8" t="s">
        <v>14</v>
      </c>
    </row>
    <row r="152" spans="1:7" x14ac:dyDescent="0.2">
      <c r="A152" s="6" t="s">
        <v>172</v>
      </c>
      <c r="B152" s="8"/>
      <c r="C152" s="8"/>
      <c r="D152" s="8"/>
      <c r="E152" s="8"/>
      <c r="F152" s="8"/>
      <c r="G152" s="8"/>
    </row>
    <row r="153" spans="1:7" x14ac:dyDescent="0.2">
      <c r="A153" s="8" t="s">
        <v>173</v>
      </c>
      <c r="B153" s="8">
        <v>5343</v>
      </c>
      <c r="C153" s="8" t="s">
        <v>175</v>
      </c>
      <c r="D153" s="28" t="s">
        <v>176</v>
      </c>
      <c r="E153" s="8" t="s">
        <v>177</v>
      </c>
      <c r="F153" s="8" t="s">
        <v>178</v>
      </c>
      <c r="G153" s="8" t="s">
        <v>14</v>
      </c>
    </row>
    <row r="154" spans="1:7" x14ac:dyDescent="0.2">
      <c r="A154" s="8" t="s">
        <v>174</v>
      </c>
      <c r="B154" s="8"/>
      <c r="C154" s="8"/>
      <c r="D154" s="8"/>
      <c r="E154" s="8"/>
      <c r="F154" s="8"/>
      <c r="G154" s="8"/>
    </row>
    <row r="155" spans="1:7" x14ac:dyDescent="0.2">
      <c r="A155" s="8" t="s">
        <v>179</v>
      </c>
      <c r="B155" s="8">
        <v>10.477</v>
      </c>
      <c r="C155" s="8" t="s">
        <v>180</v>
      </c>
      <c r="D155" s="28" t="s">
        <v>176</v>
      </c>
      <c r="E155" s="8" t="s">
        <v>177</v>
      </c>
      <c r="F155" s="8" t="s">
        <v>178</v>
      </c>
      <c r="G155" s="8" t="s">
        <v>14</v>
      </c>
    </row>
    <row r="156" spans="1:7" x14ac:dyDescent="0.2">
      <c r="A156" s="6" t="s">
        <v>266</v>
      </c>
      <c r="B156" s="8"/>
      <c r="C156" s="8"/>
      <c r="D156" s="28" t="s">
        <v>181</v>
      </c>
      <c r="E156" s="8" t="s">
        <v>272</v>
      </c>
      <c r="F156" s="8" t="s">
        <v>178</v>
      </c>
      <c r="G156" s="8" t="s">
        <v>14</v>
      </c>
    </row>
    <row r="157" spans="1:7" x14ac:dyDescent="0.2">
      <c r="A157" s="8" t="s">
        <v>182</v>
      </c>
      <c r="B157" s="8"/>
      <c r="C157" s="8"/>
      <c r="D157" s="8"/>
      <c r="E157" s="8"/>
      <c r="F157" s="8"/>
      <c r="G157" s="8"/>
    </row>
    <row r="158" spans="1:7" x14ac:dyDescent="0.2">
      <c r="A158" s="15" t="s">
        <v>183</v>
      </c>
      <c r="B158" s="15"/>
      <c r="C158" s="8"/>
      <c r="D158" s="8"/>
      <c r="E158" s="8"/>
      <c r="F158" s="8"/>
      <c r="G158" s="8"/>
    </row>
    <row r="159" spans="1:7" x14ac:dyDescent="0.2">
      <c r="A159" s="15" t="s">
        <v>184</v>
      </c>
      <c r="B159" s="20">
        <v>99058</v>
      </c>
      <c r="C159" s="8" t="s">
        <v>267</v>
      </c>
      <c r="D159" s="8"/>
      <c r="E159" s="8"/>
      <c r="F159" s="8"/>
      <c r="G159" s="8"/>
    </row>
    <row r="160" spans="1:7" x14ac:dyDescent="0.2">
      <c r="A160" s="15" t="s">
        <v>185</v>
      </c>
      <c r="B160" s="20">
        <v>18802</v>
      </c>
      <c r="C160" s="8" t="s">
        <v>267</v>
      </c>
      <c r="D160" s="8"/>
      <c r="E160" s="8"/>
      <c r="F160" s="8"/>
      <c r="G160" s="8"/>
    </row>
    <row r="161" spans="1:7" x14ac:dyDescent="0.2">
      <c r="A161" s="15" t="s">
        <v>186</v>
      </c>
      <c r="B161" s="20">
        <v>1555</v>
      </c>
      <c r="C161" s="8" t="s">
        <v>267</v>
      </c>
      <c r="D161" s="8"/>
      <c r="E161" s="8"/>
      <c r="F161" s="8"/>
      <c r="G161" s="8"/>
    </row>
    <row r="162" spans="1:7" ht="19" x14ac:dyDescent="0.2">
      <c r="A162" s="15" t="s">
        <v>243</v>
      </c>
      <c r="B162" s="20">
        <v>1860</v>
      </c>
      <c r="C162" s="8" t="s">
        <v>268</v>
      </c>
      <c r="D162" s="8"/>
      <c r="E162" s="8"/>
      <c r="F162" s="8"/>
      <c r="G162" s="8"/>
    </row>
    <row r="163" spans="1:7" x14ac:dyDescent="0.2">
      <c r="A163" s="15" t="s">
        <v>187</v>
      </c>
      <c r="B163" s="20">
        <v>900</v>
      </c>
      <c r="C163" s="8" t="s">
        <v>268</v>
      </c>
      <c r="D163" s="8"/>
      <c r="E163" s="8"/>
      <c r="F163" s="8"/>
      <c r="G163" s="8"/>
    </row>
    <row r="164" spans="1:7" x14ac:dyDescent="0.2">
      <c r="A164" s="15" t="s">
        <v>188</v>
      </c>
      <c r="B164" s="15"/>
      <c r="C164" s="8"/>
      <c r="D164" s="8"/>
      <c r="E164" s="8"/>
      <c r="F164" s="8"/>
      <c r="G164" s="8"/>
    </row>
    <row r="165" spans="1:7" ht="19" x14ac:dyDescent="0.2">
      <c r="A165" s="15" t="s">
        <v>244</v>
      </c>
      <c r="B165" s="20">
        <v>5217</v>
      </c>
      <c r="C165" s="8" t="s">
        <v>268</v>
      </c>
      <c r="D165" s="8"/>
      <c r="E165" s="8"/>
      <c r="F165" s="8"/>
      <c r="G165" s="8"/>
    </row>
    <row r="166" spans="1:7" x14ac:dyDescent="0.2">
      <c r="A166" s="15" t="s">
        <v>189</v>
      </c>
      <c r="B166" s="20">
        <v>2400</v>
      </c>
      <c r="C166" s="8" t="s">
        <v>268</v>
      </c>
      <c r="D166" s="8"/>
      <c r="E166" s="8"/>
      <c r="F166" s="8"/>
      <c r="G166" s="8"/>
    </row>
    <row r="167" spans="1:7" x14ac:dyDescent="0.2">
      <c r="A167" s="15" t="s">
        <v>190</v>
      </c>
      <c r="B167" s="15"/>
      <c r="C167" s="8"/>
      <c r="D167" s="8"/>
      <c r="E167" s="8"/>
      <c r="F167" s="8"/>
      <c r="G167" s="8"/>
    </row>
    <row r="168" spans="1:7" x14ac:dyDescent="0.2">
      <c r="A168" s="15" t="s">
        <v>191</v>
      </c>
      <c r="B168" s="15"/>
      <c r="C168" s="8"/>
      <c r="D168" s="8"/>
      <c r="E168" s="8"/>
      <c r="F168" s="8"/>
      <c r="G168" s="8"/>
    </row>
    <row r="169" spans="1:7" x14ac:dyDescent="0.2">
      <c r="A169" s="15" t="s">
        <v>192</v>
      </c>
      <c r="B169" s="20">
        <v>763</v>
      </c>
      <c r="C169" s="8" t="s">
        <v>267</v>
      </c>
      <c r="D169" s="8"/>
      <c r="E169" s="8"/>
      <c r="F169" s="8"/>
      <c r="G169" s="8"/>
    </row>
    <row r="170" spans="1:7" ht="19" x14ac:dyDescent="0.2">
      <c r="A170" s="16" t="s">
        <v>245</v>
      </c>
      <c r="B170" s="21">
        <v>15</v>
      </c>
      <c r="C170" s="8" t="s">
        <v>267</v>
      </c>
      <c r="D170" s="8"/>
      <c r="E170" s="8"/>
      <c r="F170" s="8"/>
      <c r="G170" s="8"/>
    </row>
    <row r="171" spans="1:7" x14ac:dyDescent="0.2">
      <c r="A171" s="15" t="s">
        <v>193</v>
      </c>
      <c r="B171" s="20">
        <v>397</v>
      </c>
      <c r="C171" s="8" t="s">
        <v>267</v>
      </c>
      <c r="D171" s="8"/>
      <c r="E171" s="8"/>
      <c r="F171" s="8"/>
      <c r="G171" s="8"/>
    </row>
    <row r="172" spans="1:7" x14ac:dyDescent="0.2">
      <c r="A172" s="15" t="s">
        <v>194</v>
      </c>
      <c r="B172" s="15"/>
      <c r="C172" s="8"/>
      <c r="D172" s="8"/>
      <c r="E172" s="8"/>
      <c r="F172" s="8"/>
      <c r="G172" s="8"/>
    </row>
    <row r="173" spans="1:7" x14ac:dyDescent="0.2">
      <c r="A173" s="15" t="s">
        <v>195</v>
      </c>
      <c r="B173" s="20">
        <v>15</v>
      </c>
      <c r="C173" s="8" t="s">
        <v>267</v>
      </c>
      <c r="D173" s="8"/>
      <c r="E173" s="8"/>
      <c r="F173" s="8"/>
      <c r="G173" s="8"/>
    </row>
    <row r="174" spans="1:7" x14ac:dyDescent="0.2">
      <c r="A174" s="15" t="s">
        <v>196</v>
      </c>
      <c r="B174" s="20">
        <v>427</v>
      </c>
      <c r="C174" s="8" t="s">
        <v>267</v>
      </c>
      <c r="D174" s="8"/>
      <c r="E174" s="8"/>
      <c r="F174" s="8"/>
      <c r="G174" s="8"/>
    </row>
    <row r="175" spans="1:7" ht="19" x14ac:dyDescent="0.2">
      <c r="A175" s="15" t="s">
        <v>246</v>
      </c>
      <c r="B175" s="15"/>
      <c r="C175" s="8"/>
      <c r="D175" s="8"/>
      <c r="E175" s="8"/>
      <c r="F175" s="8"/>
      <c r="G175" s="8"/>
    </row>
    <row r="176" spans="1:7" x14ac:dyDescent="0.2">
      <c r="A176" s="17" t="s">
        <v>197</v>
      </c>
      <c r="B176" s="20">
        <v>60000</v>
      </c>
      <c r="C176" s="8" t="s">
        <v>268</v>
      </c>
      <c r="D176" s="8"/>
      <c r="E176" s="8"/>
      <c r="F176" s="8"/>
      <c r="G176" s="8"/>
    </row>
    <row r="177" spans="1:7" x14ac:dyDescent="0.2">
      <c r="A177" s="18" t="s">
        <v>198</v>
      </c>
      <c r="B177" s="20">
        <v>81000</v>
      </c>
      <c r="C177" s="8" t="s">
        <v>268</v>
      </c>
      <c r="D177" s="8"/>
      <c r="E177" s="8"/>
      <c r="F177" s="8"/>
      <c r="G177" s="8"/>
    </row>
    <row r="178" spans="1:7" x14ac:dyDescent="0.2">
      <c r="A178" s="15" t="s">
        <v>199</v>
      </c>
      <c r="B178" s="15"/>
      <c r="C178" s="8"/>
      <c r="D178" s="8"/>
      <c r="E178" s="8"/>
      <c r="F178" s="8"/>
      <c r="G178" s="8"/>
    </row>
    <row r="179" spans="1:7" x14ac:dyDescent="0.2">
      <c r="A179" s="15" t="s">
        <v>200</v>
      </c>
      <c r="B179" s="20">
        <v>296053</v>
      </c>
      <c r="C179" s="8" t="s">
        <v>269</v>
      </c>
      <c r="D179" s="8"/>
      <c r="E179" s="8"/>
      <c r="F179" s="8"/>
      <c r="G179" s="8"/>
    </row>
    <row r="180" spans="1:7" x14ac:dyDescent="0.2">
      <c r="A180" s="15" t="s">
        <v>201</v>
      </c>
      <c r="B180" s="20">
        <v>250197</v>
      </c>
      <c r="C180" s="8" t="s">
        <v>269</v>
      </c>
      <c r="D180" s="8"/>
      <c r="E180" s="8"/>
      <c r="F180" s="8"/>
      <c r="G180" s="8"/>
    </row>
    <row r="181" spans="1:7" x14ac:dyDescent="0.2">
      <c r="A181" s="15" t="s">
        <v>202</v>
      </c>
      <c r="B181" s="15"/>
      <c r="C181" s="8"/>
      <c r="D181" s="8"/>
      <c r="E181" s="8"/>
      <c r="F181" s="8"/>
      <c r="G181" s="8"/>
    </row>
    <row r="182" spans="1:7" x14ac:dyDescent="0.2">
      <c r="A182" s="15" t="s">
        <v>203</v>
      </c>
      <c r="B182" s="20">
        <v>952510</v>
      </c>
      <c r="C182" s="8" t="s">
        <v>267</v>
      </c>
      <c r="D182" s="8"/>
      <c r="E182" s="8"/>
      <c r="F182" s="8"/>
      <c r="G182" s="8"/>
    </row>
    <row r="183" spans="1:7" x14ac:dyDescent="0.2">
      <c r="A183" s="15" t="s">
        <v>204</v>
      </c>
      <c r="B183" s="20">
        <v>589029</v>
      </c>
      <c r="C183" s="8" t="s">
        <v>267</v>
      </c>
      <c r="D183" s="8"/>
      <c r="E183" s="8"/>
      <c r="F183" s="8"/>
      <c r="G183" s="8"/>
    </row>
    <row r="184" spans="1:7" x14ac:dyDescent="0.2">
      <c r="A184" s="15" t="s">
        <v>205</v>
      </c>
      <c r="B184" s="15"/>
      <c r="C184" s="8"/>
      <c r="D184" s="8"/>
      <c r="E184" s="8"/>
      <c r="F184" s="8"/>
      <c r="G184" s="8"/>
    </row>
    <row r="185" spans="1:7" x14ac:dyDescent="0.2">
      <c r="A185" s="15" t="s">
        <v>206</v>
      </c>
      <c r="B185" s="20">
        <v>3461</v>
      </c>
      <c r="C185" s="8" t="s">
        <v>267</v>
      </c>
      <c r="D185" s="8"/>
      <c r="E185" s="8"/>
      <c r="F185" s="8"/>
      <c r="G185" s="8"/>
    </row>
    <row r="186" spans="1:7" x14ac:dyDescent="0.2">
      <c r="A186" s="15" t="s">
        <v>207</v>
      </c>
      <c r="B186" s="20">
        <v>5459</v>
      </c>
      <c r="C186" s="8" t="s">
        <v>267</v>
      </c>
      <c r="D186" s="8"/>
      <c r="E186" s="8"/>
      <c r="F186" s="8"/>
      <c r="G186" s="8"/>
    </row>
    <row r="187" spans="1:7" x14ac:dyDescent="0.2">
      <c r="A187" s="15" t="s">
        <v>208</v>
      </c>
      <c r="B187" s="19"/>
      <c r="C187" s="8"/>
      <c r="D187" s="8"/>
      <c r="E187" s="8"/>
      <c r="F187" s="8"/>
      <c r="G187" s="8"/>
    </row>
    <row r="188" spans="1:7" x14ac:dyDescent="0.2">
      <c r="A188" s="15" t="s">
        <v>209</v>
      </c>
      <c r="B188" s="20">
        <v>472242</v>
      </c>
      <c r="C188" s="8" t="s">
        <v>268</v>
      </c>
      <c r="D188" s="8"/>
      <c r="E188" s="8"/>
      <c r="F188" s="8"/>
      <c r="G188" s="8"/>
    </row>
    <row r="189" spans="1:7" x14ac:dyDescent="0.2">
      <c r="A189" s="15" t="s">
        <v>210</v>
      </c>
      <c r="B189" s="20"/>
      <c r="C189" s="8"/>
      <c r="D189" s="8"/>
      <c r="E189" s="8"/>
      <c r="F189" s="8"/>
      <c r="G189" s="8"/>
    </row>
    <row r="190" spans="1:7" x14ac:dyDescent="0.2">
      <c r="A190" s="15" t="s">
        <v>211</v>
      </c>
      <c r="B190" s="20">
        <v>186458</v>
      </c>
      <c r="C190" s="8" t="s">
        <v>268</v>
      </c>
      <c r="D190" s="8"/>
      <c r="E190" s="8"/>
      <c r="F190" s="8"/>
      <c r="G190" s="8"/>
    </row>
    <row r="191" spans="1:7" ht="19" x14ac:dyDescent="0.2">
      <c r="A191" s="15" t="s">
        <v>247</v>
      </c>
      <c r="B191" s="20">
        <v>35000</v>
      </c>
      <c r="C191" s="8" t="s">
        <v>268</v>
      </c>
      <c r="D191" s="8"/>
      <c r="E191" s="8"/>
      <c r="F191" s="8"/>
      <c r="G191" s="8"/>
    </row>
    <row r="192" spans="1:7" x14ac:dyDescent="0.2">
      <c r="A192" s="15" t="s">
        <v>212</v>
      </c>
      <c r="B192" s="15"/>
      <c r="C192" s="8"/>
      <c r="D192" s="8"/>
      <c r="E192" s="8"/>
      <c r="F192" s="8"/>
      <c r="G192" s="8"/>
    </row>
    <row r="193" spans="1:7" x14ac:dyDescent="0.2">
      <c r="A193" s="15" t="s">
        <v>203</v>
      </c>
      <c r="B193" s="20">
        <v>6926</v>
      </c>
      <c r="C193" s="8" t="s">
        <v>267</v>
      </c>
      <c r="D193" s="8"/>
      <c r="E193" s="8"/>
      <c r="F193" s="8"/>
      <c r="G193" s="8"/>
    </row>
    <row r="194" spans="1:7" x14ac:dyDescent="0.2">
      <c r="A194" s="15" t="s">
        <v>213</v>
      </c>
      <c r="B194" s="20">
        <v>2856</v>
      </c>
      <c r="C194" s="8" t="s">
        <v>267</v>
      </c>
      <c r="D194" s="8"/>
      <c r="E194" s="8"/>
      <c r="F194" s="8"/>
      <c r="G194" s="8"/>
    </row>
    <row r="195" spans="1:7" x14ac:dyDescent="0.2">
      <c r="A195" s="15" t="s">
        <v>214</v>
      </c>
      <c r="B195" s="15"/>
      <c r="C195" s="8"/>
      <c r="D195" s="8"/>
      <c r="E195" s="8"/>
      <c r="F195" s="8"/>
      <c r="G195" s="8"/>
    </row>
    <row r="196" spans="1:7" x14ac:dyDescent="0.2">
      <c r="A196" s="15" t="s">
        <v>215</v>
      </c>
      <c r="B196" s="22">
        <v>149</v>
      </c>
      <c r="C196" s="8" t="s">
        <v>267</v>
      </c>
      <c r="D196" s="8"/>
      <c r="E196" s="8"/>
      <c r="F196" s="8"/>
      <c r="G196" s="8"/>
    </row>
    <row r="197" spans="1:7" ht="19" x14ac:dyDescent="0.2">
      <c r="A197" s="15" t="s">
        <v>248</v>
      </c>
      <c r="B197" s="22">
        <v>44</v>
      </c>
      <c r="C197" s="8" t="s">
        <v>267</v>
      </c>
      <c r="D197" s="8"/>
      <c r="E197" s="8"/>
      <c r="F197" s="8"/>
      <c r="G197" s="8"/>
    </row>
    <row r="198" spans="1:7" ht="19" x14ac:dyDescent="0.2">
      <c r="A198" s="15" t="s">
        <v>249</v>
      </c>
      <c r="B198" s="23">
        <v>92300</v>
      </c>
      <c r="C198" s="8"/>
      <c r="D198" s="8"/>
      <c r="E198" s="8"/>
      <c r="F198" s="8"/>
      <c r="G198" s="8"/>
    </row>
    <row r="199" spans="1:7" ht="19" x14ac:dyDescent="0.2">
      <c r="A199" s="15" t="s">
        <v>250</v>
      </c>
      <c r="B199" s="15"/>
      <c r="C199" s="8"/>
      <c r="D199" s="8"/>
      <c r="E199" s="8"/>
      <c r="F199" s="8"/>
      <c r="G199" s="8"/>
    </row>
    <row r="200" spans="1:7" x14ac:dyDescent="0.2">
      <c r="A200" s="15" t="s">
        <v>216</v>
      </c>
      <c r="B200" s="20">
        <v>400</v>
      </c>
      <c r="C200" s="8" t="s">
        <v>269</v>
      </c>
      <c r="D200" s="8"/>
      <c r="E200" s="8"/>
      <c r="F200" s="8"/>
      <c r="G200" s="8"/>
    </row>
    <row r="201" spans="1:7" x14ac:dyDescent="0.2">
      <c r="A201" s="15" t="s">
        <v>217</v>
      </c>
      <c r="B201" s="24">
        <v>110</v>
      </c>
      <c r="C201" s="8" t="s">
        <v>269</v>
      </c>
      <c r="D201" s="8"/>
      <c r="E201" s="8"/>
      <c r="F201" s="8"/>
      <c r="G201" s="8"/>
    </row>
    <row r="202" spans="1:7" x14ac:dyDescent="0.2">
      <c r="A202" s="15" t="s">
        <v>218</v>
      </c>
      <c r="B202" s="20">
        <v>510</v>
      </c>
      <c r="C202" s="8" t="s">
        <v>269</v>
      </c>
      <c r="D202" s="8"/>
      <c r="E202" s="8"/>
      <c r="F202" s="8"/>
      <c r="G202" s="8"/>
    </row>
    <row r="203" spans="1:7" ht="19" x14ac:dyDescent="0.2">
      <c r="A203" s="15" t="s">
        <v>251</v>
      </c>
      <c r="B203" s="20">
        <v>29000</v>
      </c>
      <c r="C203" s="8" t="s">
        <v>268</v>
      </c>
      <c r="D203" s="8"/>
      <c r="E203" s="8"/>
      <c r="F203" s="8"/>
      <c r="G203" s="8"/>
    </row>
    <row r="204" spans="1:7" ht="19" x14ac:dyDescent="0.2">
      <c r="A204" s="15" t="s">
        <v>252</v>
      </c>
      <c r="B204" s="20">
        <v>40000</v>
      </c>
      <c r="C204" s="8" t="s">
        <v>268</v>
      </c>
      <c r="D204" s="8"/>
      <c r="E204" s="8"/>
      <c r="F204" s="8"/>
      <c r="G204" s="8"/>
    </row>
    <row r="205" spans="1:7" x14ac:dyDescent="0.2">
      <c r="A205" s="15" t="s">
        <v>219</v>
      </c>
      <c r="B205" s="15"/>
      <c r="C205" s="8"/>
      <c r="D205" s="8"/>
      <c r="E205" s="8"/>
      <c r="F205" s="8"/>
      <c r="G205" s="8"/>
    </row>
    <row r="206" spans="1:7" x14ac:dyDescent="0.2">
      <c r="A206" s="15" t="s">
        <v>220</v>
      </c>
      <c r="B206" s="20">
        <v>1033</v>
      </c>
      <c r="C206" s="8" t="s">
        <v>268</v>
      </c>
      <c r="D206" s="8"/>
      <c r="E206" s="8"/>
      <c r="F206" s="8"/>
      <c r="G206" s="8"/>
    </row>
    <row r="207" spans="1:7" x14ac:dyDescent="0.2">
      <c r="A207" s="15" t="s">
        <v>221</v>
      </c>
      <c r="B207" s="20">
        <v>723</v>
      </c>
      <c r="C207" s="8" t="s">
        <v>268</v>
      </c>
      <c r="D207" s="8"/>
      <c r="E207" s="8"/>
      <c r="F207" s="8"/>
      <c r="G207" s="8"/>
    </row>
    <row r="208" spans="1:7" x14ac:dyDescent="0.2">
      <c r="A208" s="15" t="s">
        <v>222</v>
      </c>
      <c r="B208" s="20">
        <v>43000</v>
      </c>
      <c r="C208" s="8" t="s">
        <v>269</v>
      </c>
      <c r="D208" s="8"/>
      <c r="E208" s="8"/>
      <c r="F208" s="8"/>
      <c r="G208" s="8"/>
    </row>
    <row r="209" spans="1:7" x14ac:dyDescent="0.2">
      <c r="A209" s="15" t="s">
        <v>223</v>
      </c>
      <c r="B209" s="20">
        <v>9852</v>
      </c>
      <c r="C209" s="8" t="s">
        <v>268</v>
      </c>
      <c r="D209" s="8"/>
      <c r="E209" s="8"/>
      <c r="F209" s="8"/>
      <c r="G209" s="8"/>
    </row>
    <row r="210" spans="1:7" ht="19" x14ac:dyDescent="0.2">
      <c r="A210" s="15" t="s">
        <v>253</v>
      </c>
      <c r="B210" s="15"/>
      <c r="C210" s="8"/>
      <c r="D210" s="8"/>
      <c r="E210" s="8"/>
      <c r="F210" s="8"/>
      <c r="G210" s="8"/>
    </row>
    <row r="211" spans="1:7" x14ac:dyDescent="0.2">
      <c r="A211" s="15" t="s">
        <v>224</v>
      </c>
      <c r="B211" s="20">
        <v>630</v>
      </c>
      <c r="C211" s="8" t="s">
        <v>267</v>
      </c>
      <c r="D211" s="8"/>
      <c r="E211" s="8"/>
      <c r="F211" s="8"/>
      <c r="G211" s="8"/>
    </row>
    <row r="212" spans="1:7" x14ac:dyDescent="0.2">
      <c r="A212" s="15" t="s">
        <v>225</v>
      </c>
      <c r="B212" s="20">
        <v>200</v>
      </c>
      <c r="C212" s="8" t="s">
        <v>267</v>
      </c>
      <c r="D212" s="8"/>
      <c r="E212" s="8"/>
      <c r="F212" s="8"/>
      <c r="G212" s="8"/>
    </row>
    <row r="213" spans="1:7" ht="19" x14ac:dyDescent="0.2">
      <c r="A213" s="15" t="s">
        <v>254</v>
      </c>
      <c r="B213" s="20">
        <v>432</v>
      </c>
      <c r="C213" s="8" t="s">
        <v>268</v>
      </c>
      <c r="D213" s="8"/>
      <c r="E213" s="8"/>
      <c r="F213" s="8"/>
      <c r="G213" s="8"/>
    </row>
    <row r="214" spans="1:7" x14ac:dyDescent="0.2">
      <c r="A214" s="15" t="s">
        <v>226</v>
      </c>
      <c r="B214" s="15"/>
      <c r="C214" s="8"/>
      <c r="D214" s="8"/>
      <c r="E214" s="8"/>
      <c r="F214" s="8"/>
      <c r="G214" s="8"/>
    </row>
    <row r="215" spans="1:7" x14ac:dyDescent="0.2">
      <c r="A215" s="15" t="s">
        <v>227</v>
      </c>
      <c r="B215" s="20">
        <v>1098</v>
      </c>
      <c r="C215" s="8" t="s">
        <v>267</v>
      </c>
      <c r="D215" s="8"/>
      <c r="E215" s="8"/>
      <c r="F215" s="8"/>
      <c r="G215" s="8"/>
    </row>
    <row r="216" spans="1:7" x14ac:dyDescent="0.2">
      <c r="A216" s="15" t="s">
        <v>193</v>
      </c>
      <c r="B216" s="20">
        <v>430</v>
      </c>
      <c r="C216" s="8" t="s">
        <v>267</v>
      </c>
      <c r="D216" s="8"/>
      <c r="E216" s="8"/>
      <c r="F216" s="8"/>
      <c r="G216" s="8"/>
    </row>
    <row r="217" spans="1:7" ht="19" x14ac:dyDescent="0.2">
      <c r="A217" s="15" t="s">
        <v>255</v>
      </c>
      <c r="B217" s="20">
        <v>410</v>
      </c>
      <c r="C217" s="8" t="s">
        <v>267</v>
      </c>
      <c r="D217" s="8"/>
      <c r="E217" s="8"/>
      <c r="F217" s="8"/>
      <c r="G217" s="8"/>
    </row>
    <row r="218" spans="1:7" x14ac:dyDescent="0.2">
      <c r="A218" s="15" t="s">
        <v>228</v>
      </c>
      <c r="B218" s="15"/>
      <c r="C218" s="8"/>
      <c r="D218" s="8"/>
      <c r="E218" s="8"/>
      <c r="F218" s="8"/>
      <c r="G218" s="8"/>
    </row>
    <row r="219" spans="1:7" x14ac:dyDescent="0.2">
      <c r="A219" s="15" t="s">
        <v>229</v>
      </c>
      <c r="B219" s="20">
        <v>324764</v>
      </c>
      <c r="C219" s="8" t="s">
        <v>268</v>
      </c>
      <c r="D219" s="8"/>
      <c r="E219" s="8"/>
      <c r="F219" s="8"/>
      <c r="G219" s="8"/>
    </row>
    <row r="220" spans="1:7" x14ac:dyDescent="0.2">
      <c r="A220" s="15" t="s">
        <v>230</v>
      </c>
      <c r="B220" s="20">
        <v>4300</v>
      </c>
      <c r="C220" s="8" t="s">
        <v>268</v>
      </c>
      <c r="D220" s="8"/>
      <c r="E220" s="8"/>
      <c r="F220" s="8"/>
      <c r="G220" s="8"/>
    </row>
    <row r="221" spans="1:7" ht="19" x14ac:dyDescent="0.2">
      <c r="A221" s="15" t="s">
        <v>256</v>
      </c>
      <c r="B221" s="20">
        <v>10000</v>
      </c>
      <c r="C221" s="8" t="s">
        <v>267</v>
      </c>
      <c r="D221" s="8"/>
      <c r="E221" s="8"/>
      <c r="F221" s="8"/>
      <c r="G221" s="8"/>
    </row>
    <row r="222" spans="1:7" ht="19" x14ac:dyDescent="0.2">
      <c r="A222" s="15" t="s">
        <v>257</v>
      </c>
      <c r="B222" s="15"/>
      <c r="C222" s="8"/>
      <c r="D222" s="8"/>
      <c r="E222" s="8"/>
      <c r="F222" s="8"/>
      <c r="G222" s="8"/>
    </row>
    <row r="223" spans="1:7" x14ac:dyDescent="0.2">
      <c r="A223" s="15" t="s">
        <v>231</v>
      </c>
      <c r="B223" s="20">
        <v>47000</v>
      </c>
      <c r="C223" s="8" t="s">
        <v>268</v>
      </c>
      <c r="D223" s="8"/>
      <c r="E223" s="8"/>
      <c r="F223" s="8"/>
      <c r="G223" s="8"/>
    </row>
    <row r="224" spans="1:7" x14ac:dyDescent="0.2">
      <c r="A224" s="15" t="s">
        <v>232</v>
      </c>
      <c r="B224" s="20">
        <v>12000</v>
      </c>
      <c r="C224" s="8" t="s">
        <v>268</v>
      </c>
      <c r="D224" s="8"/>
      <c r="E224" s="8"/>
      <c r="F224" s="8"/>
      <c r="G224" s="8"/>
    </row>
    <row r="225" spans="1:7" ht="17" thickBot="1" x14ac:dyDescent="0.25">
      <c r="A225" s="15" t="s">
        <v>233</v>
      </c>
      <c r="B225" s="25">
        <v>190000</v>
      </c>
      <c r="C225" s="8" t="s">
        <v>268</v>
      </c>
      <c r="D225" s="8"/>
      <c r="E225" s="8"/>
      <c r="F225" s="8"/>
      <c r="G225" s="8"/>
    </row>
    <row r="226" spans="1:7" x14ac:dyDescent="0.2">
      <c r="A226" s="15" t="s">
        <v>234</v>
      </c>
      <c r="B226" s="15"/>
      <c r="C226" s="8"/>
      <c r="D226" s="8"/>
      <c r="E226" s="8"/>
      <c r="F226" s="8"/>
      <c r="G226" s="8"/>
    </row>
    <row r="227" spans="1:7" x14ac:dyDescent="0.2">
      <c r="A227" s="15" t="s">
        <v>235</v>
      </c>
      <c r="B227" s="15" t="s">
        <v>270</v>
      </c>
      <c r="C227" s="8" t="s">
        <v>271</v>
      </c>
      <c r="D227" s="8"/>
      <c r="E227" s="8"/>
      <c r="F227" s="8"/>
      <c r="G227" s="8"/>
    </row>
    <row r="228" spans="1:7" x14ac:dyDescent="0.2">
      <c r="A228" s="15" t="s">
        <v>236</v>
      </c>
      <c r="B228" s="15" t="s">
        <v>270</v>
      </c>
      <c r="C228" s="8" t="s">
        <v>271</v>
      </c>
      <c r="D228" s="8"/>
      <c r="E228" s="8"/>
      <c r="F228" s="8"/>
      <c r="G228" s="8"/>
    </row>
    <row r="229" spans="1:7" x14ac:dyDescent="0.2">
      <c r="A229" s="15" t="s">
        <v>218</v>
      </c>
      <c r="B229" s="15" t="s">
        <v>270</v>
      </c>
      <c r="C229" s="8" t="s">
        <v>271</v>
      </c>
      <c r="D229" s="8"/>
      <c r="E229" s="8"/>
      <c r="F229" s="8"/>
      <c r="G229" s="8"/>
    </row>
    <row r="230" spans="1:7" ht="19" x14ac:dyDescent="0.2">
      <c r="A230" s="15" t="s">
        <v>258</v>
      </c>
      <c r="B230" s="20">
        <v>11000</v>
      </c>
      <c r="C230" s="8" t="s">
        <v>268</v>
      </c>
      <c r="D230" s="8"/>
      <c r="E230" s="8"/>
      <c r="F230" s="8"/>
      <c r="G230" s="8"/>
    </row>
    <row r="231" spans="1:7" x14ac:dyDescent="0.2">
      <c r="A231" s="15" t="s">
        <v>237</v>
      </c>
      <c r="B231" s="20">
        <v>1000</v>
      </c>
      <c r="C231" s="8" t="s">
        <v>268</v>
      </c>
      <c r="D231" s="8"/>
      <c r="E231" s="8"/>
      <c r="F231" s="8"/>
      <c r="G231" s="8"/>
    </row>
    <row r="232" spans="1:7" x14ac:dyDescent="0.2">
      <c r="A232" s="15" t="s">
        <v>238</v>
      </c>
      <c r="B232" s="20">
        <v>4200</v>
      </c>
      <c r="C232" s="8" t="s">
        <v>267</v>
      </c>
      <c r="D232" s="8"/>
      <c r="E232" s="8"/>
      <c r="F232" s="8"/>
      <c r="G232" s="8"/>
    </row>
    <row r="233" spans="1:7" ht="19" x14ac:dyDescent="0.2">
      <c r="A233" s="15" t="s">
        <v>259</v>
      </c>
      <c r="B233" s="20">
        <v>1970</v>
      </c>
      <c r="C233" s="8" t="s">
        <v>267</v>
      </c>
      <c r="D233" s="8"/>
      <c r="E233" s="8"/>
      <c r="F233" s="8"/>
      <c r="G233" s="8"/>
    </row>
    <row r="234" spans="1:7" x14ac:dyDescent="0.2">
      <c r="A234" s="15" t="s">
        <v>239</v>
      </c>
      <c r="B234" s="15"/>
      <c r="C234" s="8"/>
      <c r="D234" s="8"/>
      <c r="E234" s="8"/>
      <c r="F234" s="8"/>
      <c r="G234" s="8"/>
    </row>
    <row r="235" spans="1:7" x14ac:dyDescent="0.2">
      <c r="A235" s="15" t="s">
        <v>240</v>
      </c>
      <c r="B235" s="20">
        <v>3398261</v>
      </c>
      <c r="C235" s="8" t="s">
        <v>268</v>
      </c>
      <c r="D235" s="8"/>
      <c r="E235" s="8"/>
      <c r="F235" s="8"/>
      <c r="G235" s="8"/>
    </row>
    <row r="236" spans="1:7" x14ac:dyDescent="0.2">
      <c r="A236" s="15" t="s">
        <v>241</v>
      </c>
      <c r="B236" s="20">
        <v>4968</v>
      </c>
      <c r="C236" s="8" t="s">
        <v>268</v>
      </c>
      <c r="D236" s="8"/>
      <c r="E236" s="8"/>
      <c r="F236" s="8"/>
      <c r="G236" s="8"/>
    </row>
    <row r="237" spans="1:7" ht="19" x14ac:dyDescent="0.2">
      <c r="A237" s="15" t="s">
        <v>260</v>
      </c>
      <c r="B237" s="20">
        <v>400000</v>
      </c>
      <c r="C237" s="8" t="s">
        <v>268</v>
      </c>
      <c r="D237" s="8"/>
      <c r="E237" s="8"/>
      <c r="F237" s="8"/>
      <c r="G237" s="8"/>
    </row>
    <row r="238" spans="1:7" ht="19" x14ac:dyDescent="0.2">
      <c r="A238" s="15" t="s">
        <v>261</v>
      </c>
      <c r="B238" s="20">
        <v>1300000</v>
      </c>
      <c r="C238" s="8" t="s">
        <v>268</v>
      </c>
      <c r="D238" s="8"/>
      <c r="E238" s="8"/>
      <c r="F238" s="8"/>
      <c r="G238" s="8"/>
    </row>
    <row r="239" spans="1:7" ht="19" x14ac:dyDescent="0.2">
      <c r="A239" s="15" t="s">
        <v>262</v>
      </c>
      <c r="B239" s="20">
        <v>3000</v>
      </c>
      <c r="C239" s="8" t="s">
        <v>268</v>
      </c>
      <c r="D239" s="8"/>
      <c r="E239" s="8"/>
      <c r="F239" s="8"/>
      <c r="G239" s="8"/>
    </row>
    <row r="240" spans="1:7" ht="19" x14ac:dyDescent="0.2">
      <c r="A240" s="15" t="s">
        <v>263</v>
      </c>
      <c r="B240" s="15"/>
      <c r="C240" s="8"/>
      <c r="D240" s="8"/>
      <c r="E240" s="8"/>
      <c r="F240" s="8"/>
      <c r="G240" s="8"/>
    </row>
    <row r="241" spans="1:7" x14ac:dyDescent="0.2">
      <c r="A241" s="15" t="s">
        <v>203</v>
      </c>
      <c r="B241" s="20">
        <v>2500000</v>
      </c>
      <c r="C241" s="8" t="s">
        <v>268</v>
      </c>
      <c r="D241" s="8"/>
      <c r="E241" s="8"/>
      <c r="F241" s="8"/>
      <c r="G241" s="8"/>
    </row>
    <row r="242" spans="1:7" ht="18" x14ac:dyDescent="0.2">
      <c r="A242" s="15" t="s">
        <v>264</v>
      </c>
      <c r="B242" s="20">
        <v>700000</v>
      </c>
      <c r="C242" s="8" t="s">
        <v>268</v>
      </c>
      <c r="D242" s="8"/>
      <c r="E242" s="8"/>
      <c r="F242" s="8"/>
      <c r="G242" s="8"/>
    </row>
    <row r="243" spans="1:7" x14ac:dyDescent="0.2">
      <c r="A243" s="15" t="s">
        <v>242</v>
      </c>
      <c r="B243" s="20">
        <v>11819</v>
      </c>
      <c r="C243" s="8" t="s">
        <v>267</v>
      </c>
      <c r="D243" s="8"/>
      <c r="E243" s="8"/>
      <c r="F243" s="8"/>
      <c r="G243" s="8"/>
    </row>
    <row r="244" spans="1:7" ht="19" x14ac:dyDescent="0.2">
      <c r="A244" s="15" t="s">
        <v>265</v>
      </c>
      <c r="B244" s="20">
        <v>110000</v>
      </c>
      <c r="C244" s="8" t="s">
        <v>268</v>
      </c>
      <c r="D244" s="8"/>
      <c r="E244" s="8"/>
      <c r="F244" s="8"/>
      <c r="G244" s="8"/>
    </row>
  </sheetData>
  <hyperlinks>
    <hyperlink ref="D4" r:id="rId1" location="data/FO" xr:uid="{F1B76FF8-523C-C243-A9EA-984C735B8CDA}"/>
    <hyperlink ref="D5" r:id="rId2" location="data/FO" xr:uid="{CAE35808-C035-324F-BC28-4714CD899F04}"/>
    <hyperlink ref="D6" r:id="rId3" location="data/FO" xr:uid="{8ECF1C9A-7CB5-2643-808D-6760821CEF28}"/>
    <hyperlink ref="D9" r:id="rId4" location="data/FO" xr:uid="{71725B98-3264-BC45-A42D-2C95ADBB0A6D}"/>
    <hyperlink ref="D13" r:id="rId5" location="data/QCL" xr:uid="{12997F53-F609-BE4B-931E-6294FF49908E}"/>
    <hyperlink ref="D151" r:id="rId6" xr:uid="{32686EDB-23FF-0D4B-9DA1-21E22FEA84D8}"/>
    <hyperlink ref="D153" r:id="rId7" xr:uid="{712CD4A3-CD24-674D-B880-C61272961B90}"/>
    <hyperlink ref="D155" r:id="rId8" xr:uid="{3E8C59A2-EBD3-C345-A797-484E60443A71}"/>
    <hyperlink ref="D156" r:id="rId9" xr:uid="{10075B42-9434-824C-8B31-D2BAEEF028F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38693-03DC-6F4E-B3B0-260972A4E77C}">
  <dimension ref="A1:I246"/>
  <sheetViews>
    <sheetView tabSelected="1" topLeftCell="A34" zoomScale="118" zoomScaleNormal="143" workbookViewId="0">
      <selection activeCell="C209" sqref="C209"/>
    </sheetView>
  </sheetViews>
  <sheetFormatPr baseColWidth="10" defaultRowHeight="16" x14ac:dyDescent="0.2"/>
  <cols>
    <col min="1" max="1" width="77.6640625" customWidth="1"/>
    <col min="2" max="2" width="18.33203125" customWidth="1"/>
    <col min="3" max="3" width="21.6640625" customWidth="1"/>
    <col min="4" max="4" width="31.5" customWidth="1"/>
    <col min="5" max="5" width="31.6640625" customWidth="1"/>
    <col min="6" max="6" width="30.83203125" customWidth="1"/>
    <col min="7" max="7" width="31.1640625" customWidth="1"/>
    <col min="8" max="8" width="18.1640625" customWidth="1"/>
    <col min="9" max="9" width="24.83203125" customWidth="1"/>
  </cols>
  <sheetData>
    <row r="1" spans="1:9" x14ac:dyDescent="0.2">
      <c r="A1" s="1" t="s">
        <v>0</v>
      </c>
      <c r="B1" s="1" t="s">
        <v>17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3" t="s">
        <v>1</v>
      </c>
    </row>
    <row r="3" spans="1:9" x14ac:dyDescent="0.2">
      <c r="A3" s="35" t="s">
        <v>295</v>
      </c>
      <c r="B3">
        <v>20.9</v>
      </c>
      <c r="C3" t="s">
        <v>301</v>
      </c>
      <c r="D3" s="2" t="s">
        <v>302</v>
      </c>
      <c r="E3" t="s">
        <v>303</v>
      </c>
      <c r="G3" t="s">
        <v>304</v>
      </c>
    </row>
    <row r="4" spans="1:9" x14ac:dyDescent="0.2">
      <c r="A4" s="29" t="s">
        <v>297</v>
      </c>
      <c r="B4">
        <v>7.1</v>
      </c>
      <c r="C4" t="s">
        <v>301</v>
      </c>
      <c r="D4" s="2" t="s">
        <v>302</v>
      </c>
      <c r="E4" t="s">
        <v>303</v>
      </c>
      <c r="G4" t="s">
        <v>304</v>
      </c>
    </row>
    <row r="5" spans="1:9" x14ac:dyDescent="0.2">
      <c r="A5" s="29" t="s">
        <v>298</v>
      </c>
      <c r="B5">
        <v>13.7</v>
      </c>
      <c r="C5" t="s">
        <v>301</v>
      </c>
      <c r="D5" s="2" t="s">
        <v>302</v>
      </c>
      <c r="E5" t="s">
        <v>303</v>
      </c>
      <c r="G5" t="s">
        <v>304</v>
      </c>
    </row>
    <row r="6" spans="1:9" x14ac:dyDescent="0.2">
      <c r="A6" s="29" t="s">
        <v>299</v>
      </c>
      <c r="B6">
        <v>2.2999999999999998</v>
      </c>
      <c r="C6" t="s">
        <v>301</v>
      </c>
      <c r="D6" s="2" t="s">
        <v>302</v>
      </c>
      <c r="E6" t="s">
        <v>303</v>
      </c>
      <c r="G6" t="s">
        <v>304</v>
      </c>
    </row>
    <row r="7" spans="1:9" x14ac:dyDescent="0.2">
      <c r="A7" s="36" t="s">
        <v>300</v>
      </c>
      <c r="B7">
        <v>23.2</v>
      </c>
      <c r="C7" t="s">
        <v>301</v>
      </c>
      <c r="D7" s="2" t="s">
        <v>302</v>
      </c>
      <c r="E7" t="s">
        <v>303</v>
      </c>
      <c r="G7" t="s">
        <v>304</v>
      </c>
    </row>
    <row r="8" spans="1:9" x14ac:dyDescent="0.2">
      <c r="A8" s="29" t="s">
        <v>305</v>
      </c>
    </row>
    <row r="9" spans="1:9" x14ac:dyDescent="0.2">
      <c r="A9" s="35" t="s">
        <v>295</v>
      </c>
      <c r="B9">
        <v>2010</v>
      </c>
      <c r="C9" t="s">
        <v>306</v>
      </c>
      <c r="D9" s="2" t="s">
        <v>302</v>
      </c>
      <c r="E9" t="s">
        <v>303</v>
      </c>
      <c r="G9" t="s">
        <v>304</v>
      </c>
    </row>
    <row r="10" spans="1:9" x14ac:dyDescent="0.2">
      <c r="A10" s="29" t="s">
        <v>297</v>
      </c>
      <c r="B10">
        <v>656</v>
      </c>
      <c r="C10" t="s">
        <v>306</v>
      </c>
      <c r="D10" s="2" t="s">
        <v>302</v>
      </c>
      <c r="E10" t="s">
        <v>303</v>
      </c>
      <c r="G10" t="s">
        <v>304</v>
      </c>
    </row>
    <row r="11" spans="1:9" x14ac:dyDescent="0.2">
      <c r="A11" s="29" t="s">
        <v>298</v>
      </c>
      <c r="B11">
        <v>1355</v>
      </c>
      <c r="C11" t="s">
        <v>306</v>
      </c>
      <c r="D11" s="2" t="s">
        <v>302</v>
      </c>
      <c r="E11" t="s">
        <v>303</v>
      </c>
      <c r="G11" t="s">
        <v>304</v>
      </c>
    </row>
    <row r="12" spans="1:9" x14ac:dyDescent="0.2">
      <c r="A12" s="29" t="s">
        <v>299</v>
      </c>
      <c r="B12">
        <v>246</v>
      </c>
      <c r="C12" t="s">
        <v>306</v>
      </c>
      <c r="D12" s="2" t="s">
        <v>302</v>
      </c>
      <c r="E12" t="s">
        <v>303</v>
      </c>
      <c r="G12" t="s">
        <v>304</v>
      </c>
    </row>
    <row r="13" spans="1:9" x14ac:dyDescent="0.2">
      <c r="A13" s="7" t="s">
        <v>307</v>
      </c>
      <c r="B13">
        <v>2.2599999999999998</v>
      </c>
      <c r="C13" t="s">
        <v>308</v>
      </c>
      <c r="D13" s="2" t="s">
        <v>302</v>
      </c>
      <c r="E13" t="s">
        <v>303</v>
      </c>
      <c r="G13" t="s">
        <v>304</v>
      </c>
    </row>
    <row r="14" spans="1:9" x14ac:dyDescent="0.2">
      <c r="A14" s="13" t="s">
        <v>28</v>
      </c>
    </row>
    <row r="15" spans="1:9" x14ac:dyDescent="0.2">
      <c r="A15" s="11" t="s">
        <v>30</v>
      </c>
    </row>
    <row r="16" spans="1:9" x14ac:dyDescent="0.2">
      <c r="A16" s="9" t="s">
        <v>31</v>
      </c>
      <c r="B16" s="39">
        <v>219286</v>
      </c>
      <c r="C16" t="s">
        <v>310</v>
      </c>
    </row>
    <row r="17" spans="1:7" x14ac:dyDescent="0.2">
      <c r="A17" s="9" t="s">
        <v>32</v>
      </c>
    </row>
    <row r="18" spans="1:7" x14ac:dyDescent="0.2">
      <c r="A18" s="9" t="s">
        <v>33</v>
      </c>
      <c r="B18" s="38">
        <v>293731</v>
      </c>
      <c r="C18" t="s">
        <v>310</v>
      </c>
      <c r="D18" s="2" t="s">
        <v>309</v>
      </c>
      <c r="E18" t="s">
        <v>303</v>
      </c>
      <c r="F18" t="s">
        <v>313</v>
      </c>
      <c r="G18" t="s">
        <v>304</v>
      </c>
    </row>
    <row r="19" spans="1:7" x14ac:dyDescent="0.2">
      <c r="A19" s="9" t="s">
        <v>34</v>
      </c>
      <c r="B19" s="38">
        <v>3062</v>
      </c>
      <c r="C19" t="s">
        <v>310</v>
      </c>
      <c r="D19" s="2" t="s">
        <v>309</v>
      </c>
      <c r="E19" t="s">
        <v>303</v>
      </c>
      <c r="F19" t="s">
        <v>313</v>
      </c>
      <c r="G19" t="s">
        <v>304</v>
      </c>
    </row>
    <row r="20" spans="1:7" x14ac:dyDescent="0.2">
      <c r="A20" s="9" t="s">
        <v>35</v>
      </c>
      <c r="B20" s="38">
        <v>5786</v>
      </c>
      <c r="C20" t="s">
        <v>310</v>
      </c>
      <c r="D20" s="2" t="s">
        <v>309</v>
      </c>
      <c r="E20" t="s">
        <v>303</v>
      </c>
      <c r="F20" t="s">
        <v>313</v>
      </c>
      <c r="G20" t="s">
        <v>304</v>
      </c>
    </row>
    <row r="21" spans="1:7" x14ac:dyDescent="0.2">
      <c r="A21" s="9" t="s">
        <v>36</v>
      </c>
      <c r="B21" s="38">
        <v>150913</v>
      </c>
      <c r="C21" t="s">
        <v>310</v>
      </c>
      <c r="D21" s="2" t="s">
        <v>309</v>
      </c>
      <c r="E21" t="s">
        <v>303</v>
      </c>
      <c r="F21" t="s">
        <v>313</v>
      </c>
      <c r="G21" t="s">
        <v>304</v>
      </c>
    </row>
    <row r="22" spans="1:7" x14ac:dyDescent="0.2">
      <c r="A22" s="9" t="s">
        <v>37</v>
      </c>
      <c r="B22" s="38">
        <v>368735</v>
      </c>
      <c r="C22" t="s">
        <v>310</v>
      </c>
      <c r="D22" s="2" t="s">
        <v>309</v>
      </c>
      <c r="E22" t="s">
        <v>303</v>
      </c>
      <c r="F22" t="s">
        <v>313</v>
      </c>
      <c r="G22" t="s">
        <v>304</v>
      </c>
    </row>
    <row r="23" spans="1:7" x14ac:dyDescent="0.2">
      <c r="A23" s="9" t="s">
        <v>38</v>
      </c>
      <c r="B23" s="37">
        <v>10961886</v>
      </c>
      <c r="C23" t="s">
        <v>310</v>
      </c>
      <c r="D23" s="2" t="s">
        <v>309</v>
      </c>
      <c r="E23" t="s">
        <v>303</v>
      </c>
      <c r="F23" t="s">
        <v>313</v>
      </c>
      <c r="G23" t="s">
        <v>304</v>
      </c>
    </row>
    <row r="24" spans="1:7" x14ac:dyDescent="0.2">
      <c r="A24" s="9" t="s">
        <v>311</v>
      </c>
      <c r="B24" s="38">
        <v>32702</v>
      </c>
      <c r="C24" t="s">
        <v>310</v>
      </c>
      <c r="D24" s="2" t="s">
        <v>309</v>
      </c>
      <c r="E24" t="s">
        <v>303</v>
      </c>
      <c r="F24" t="s">
        <v>313</v>
      </c>
      <c r="G24" t="s">
        <v>304</v>
      </c>
    </row>
    <row r="25" spans="1:7" x14ac:dyDescent="0.2">
      <c r="A25" s="9" t="s">
        <v>40</v>
      </c>
    </row>
    <row r="26" spans="1:7" x14ac:dyDescent="0.2">
      <c r="A26" s="9" t="s">
        <v>41</v>
      </c>
      <c r="B26" s="38">
        <v>27540</v>
      </c>
      <c r="C26" t="s">
        <v>310</v>
      </c>
      <c r="D26" s="2" t="s">
        <v>309</v>
      </c>
      <c r="E26" t="s">
        <v>303</v>
      </c>
      <c r="F26" t="s">
        <v>313</v>
      </c>
      <c r="G26" t="s">
        <v>304</v>
      </c>
    </row>
    <row r="27" spans="1:7" x14ac:dyDescent="0.2">
      <c r="A27" s="9" t="s">
        <v>42</v>
      </c>
    </row>
    <row r="28" spans="1:7" x14ac:dyDescent="0.2">
      <c r="A28" s="9" t="s">
        <v>43</v>
      </c>
      <c r="B28" s="38">
        <v>62617</v>
      </c>
      <c r="C28" t="s">
        <v>310</v>
      </c>
      <c r="D28" s="2" t="s">
        <v>309</v>
      </c>
      <c r="E28" t="s">
        <v>303</v>
      </c>
      <c r="F28" t="s">
        <v>313</v>
      </c>
      <c r="G28" t="s">
        <v>304</v>
      </c>
    </row>
    <row r="29" spans="1:7" x14ac:dyDescent="0.2">
      <c r="A29" s="9" t="s">
        <v>44</v>
      </c>
    </row>
    <row r="30" spans="1:7" x14ac:dyDescent="0.2">
      <c r="A30" s="9" t="s">
        <v>45</v>
      </c>
    </row>
    <row r="31" spans="1:7" x14ac:dyDescent="0.2">
      <c r="A31" s="9" t="s">
        <v>46</v>
      </c>
      <c r="B31" s="38">
        <v>298821</v>
      </c>
      <c r="C31" t="s">
        <v>310</v>
      </c>
      <c r="D31" s="2" t="s">
        <v>309</v>
      </c>
      <c r="E31" t="s">
        <v>303</v>
      </c>
      <c r="F31" t="s">
        <v>313</v>
      </c>
      <c r="G31" t="s">
        <v>304</v>
      </c>
    </row>
    <row r="32" spans="1:7" x14ac:dyDescent="0.2">
      <c r="A32" s="9" t="s">
        <v>47</v>
      </c>
    </row>
    <row r="33" spans="1:7" x14ac:dyDescent="0.2">
      <c r="A33" s="9" t="s">
        <v>48</v>
      </c>
      <c r="B33" s="38">
        <v>90124</v>
      </c>
      <c r="C33" t="s">
        <v>310</v>
      </c>
      <c r="D33" s="2" t="s">
        <v>309</v>
      </c>
      <c r="E33" t="s">
        <v>303</v>
      </c>
      <c r="F33" t="s">
        <v>313</v>
      </c>
      <c r="G33" t="s">
        <v>304</v>
      </c>
    </row>
    <row r="34" spans="1:7" x14ac:dyDescent="0.2">
      <c r="A34" s="9" t="s">
        <v>49</v>
      </c>
      <c r="B34" s="38">
        <v>18471</v>
      </c>
      <c r="C34" t="s">
        <v>310</v>
      </c>
      <c r="D34" s="2" t="s">
        <v>309</v>
      </c>
      <c r="E34" t="s">
        <v>303</v>
      </c>
      <c r="F34" t="s">
        <v>313</v>
      </c>
      <c r="G34" t="s">
        <v>304</v>
      </c>
    </row>
    <row r="35" spans="1:7" x14ac:dyDescent="0.2">
      <c r="A35" s="9" t="s">
        <v>50</v>
      </c>
      <c r="B35" s="40">
        <v>545767</v>
      </c>
      <c r="C35" t="s">
        <v>310</v>
      </c>
    </row>
    <row r="36" spans="1:7" x14ac:dyDescent="0.2">
      <c r="A36" s="9" t="s">
        <v>51</v>
      </c>
      <c r="B36" s="38"/>
    </row>
    <row r="37" spans="1:7" x14ac:dyDescent="0.2">
      <c r="A37" s="9" t="s">
        <v>52</v>
      </c>
    </row>
    <row r="38" spans="1:7" x14ac:dyDescent="0.2">
      <c r="A38" s="9" t="s">
        <v>53</v>
      </c>
      <c r="B38" s="38">
        <v>106268</v>
      </c>
      <c r="C38" t="s">
        <v>310</v>
      </c>
      <c r="D38" s="2" t="s">
        <v>309</v>
      </c>
      <c r="E38" t="s">
        <v>303</v>
      </c>
      <c r="F38" t="s">
        <v>313</v>
      </c>
      <c r="G38" t="s">
        <v>304</v>
      </c>
    </row>
    <row r="39" spans="1:7" x14ac:dyDescent="0.2">
      <c r="A39" s="9" t="s">
        <v>54</v>
      </c>
    </row>
    <row r="40" spans="1:7" x14ac:dyDescent="0.2">
      <c r="A40" s="9" t="s">
        <v>55</v>
      </c>
    </row>
    <row r="41" spans="1:7" x14ac:dyDescent="0.2">
      <c r="A41" s="9" t="s">
        <v>56</v>
      </c>
    </row>
    <row r="42" spans="1:7" x14ac:dyDescent="0.2">
      <c r="A42" s="9" t="s">
        <v>57</v>
      </c>
    </row>
    <row r="43" spans="1:7" x14ac:dyDescent="0.2">
      <c r="A43" s="9" t="s">
        <v>58</v>
      </c>
    </row>
    <row r="44" spans="1:7" x14ac:dyDescent="0.2">
      <c r="A44" s="9" t="s">
        <v>59</v>
      </c>
    </row>
    <row r="45" spans="1:7" x14ac:dyDescent="0.2">
      <c r="A45" s="9" t="s">
        <v>60</v>
      </c>
      <c r="B45" s="14">
        <v>9558</v>
      </c>
      <c r="C45" t="s">
        <v>310</v>
      </c>
      <c r="D45" s="2" t="s">
        <v>309</v>
      </c>
      <c r="E45" s="30" t="s">
        <v>303</v>
      </c>
      <c r="F45" s="30" t="s">
        <v>313</v>
      </c>
      <c r="G45" s="30" t="s">
        <v>304</v>
      </c>
    </row>
    <row r="46" spans="1:7" x14ac:dyDescent="0.2">
      <c r="A46" s="9" t="s">
        <v>61</v>
      </c>
    </row>
    <row r="47" spans="1:7" x14ac:dyDescent="0.2">
      <c r="A47" s="9" t="s">
        <v>62</v>
      </c>
    </row>
    <row r="48" spans="1:7" x14ac:dyDescent="0.2">
      <c r="A48" s="9" t="s">
        <v>63</v>
      </c>
    </row>
    <row r="49" spans="1:7" x14ac:dyDescent="0.2">
      <c r="A49" s="9" t="s">
        <v>64</v>
      </c>
    </row>
    <row r="50" spans="1:7" x14ac:dyDescent="0.2">
      <c r="A50" s="9" t="s">
        <v>65</v>
      </c>
      <c r="B50" s="38">
        <v>186632</v>
      </c>
      <c r="C50" t="s">
        <v>310</v>
      </c>
      <c r="D50" s="2" t="s">
        <v>309</v>
      </c>
      <c r="E50" s="30" t="s">
        <v>303</v>
      </c>
      <c r="F50" s="30" t="s">
        <v>313</v>
      </c>
      <c r="G50" s="30" t="s">
        <v>304</v>
      </c>
    </row>
    <row r="51" spans="1:7" x14ac:dyDescent="0.2">
      <c r="A51" s="9" t="s">
        <v>66</v>
      </c>
    </row>
    <row r="52" spans="1:7" x14ac:dyDescent="0.2">
      <c r="A52" s="9" t="s">
        <v>67</v>
      </c>
    </row>
    <row r="53" spans="1:7" x14ac:dyDescent="0.2">
      <c r="A53" s="9" t="s">
        <v>68</v>
      </c>
    </row>
    <row r="54" spans="1:7" x14ac:dyDescent="0.2">
      <c r="A54" s="9" t="s">
        <v>69</v>
      </c>
    </row>
    <row r="55" spans="1:7" x14ac:dyDescent="0.2">
      <c r="A55" s="9" t="s">
        <v>70</v>
      </c>
    </row>
    <row r="56" spans="1:7" x14ac:dyDescent="0.2">
      <c r="A56" s="9" t="s">
        <v>70</v>
      </c>
    </row>
    <row r="57" spans="1:7" x14ac:dyDescent="0.2">
      <c r="A57" s="9" t="s">
        <v>71</v>
      </c>
    </row>
    <row r="58" spans="1:7" x14ac:dyDescent="0.2">
      <c r="A58" s="9" t="s">
        <v>72</v>
      </c>
    </row>
    <row r="59" spans="1:7" x14ac:dyDescent="0.2">
      <c r="A59" s="9" t="s">
        <v>73</v>
      </c>
    </row>
    <row r="60" spans="1:7" x14ac:dyDescent="0.2">
      <c r="A60" s="9" t="s">
        <v>74</v>
      </c>
      <c r="B60" s="38">
        <v>83332</v>
      </c>
      <c r="C60" t="s">
        <v>310</v>
      </c>
      <c r="D60" s="2" t="s">
        <v>309</v>
      </c>
      <c r="E60" s="30" t="s">
        <v>303</v>
      </c>
      <c r="F60" s="30" t="s">
        <v>313</v>
      </c>
      <c r="G60" s="30" t="s">
        <v>304</v>
      </c>
    </row>
    <row r="61" spans="1:7" x14ac:dyDescent="0.2">
      <c r="A61" s="9" t="s">
        <v>75</v>
      </c>
      <c r="B61" s="38">
        <v>162418</v>
      </c>
      <c r="C61" t="s">
        <v>310</v>
      </c>
      <c r="D61" s="2" t="s">
        <v>309</v>
      </c>
      <c r="E61" s="30" t="s">
        <v>303</v>
      </c>
      <c r="F61" s="30" t="s">
        <v>313</v>
      </c>
      <c r="G61" s="30" t="s">
        <v>304</v>
      </c>
    </row>
    <row r="62" spans="1:7" x14ac:dyDescent="0.2">
      <c r="A62" s="9" t="s">
        <v>76</v>
      </c>
    </row>
    <row r="63" spans="1:7" x14ac:dyDescent="0.2">
      <c r="A63" s="9" t="s">
        <v>77</v>
      </c>
    </row>
    <row r="64" spans="1:7" x14ac:dyDescent="0.2">
      <c r="A64" s="9" t="s">
        <v>78</v>
      </c>
      <c r="B64" s="40">
        <v>831186</v>
      </c>
      <c r="C64" t="s">
        <v>310</v>
      </c>
      <c r="D64" s="2" t="s">
        <v>314</v>
      </c>
      <c r="E64" s="30" t="s">
        <v>303</v>
      </c>
      <c r="F64" s="30" t="s">
        <v>313</v>
      </c>
    </row>
    <row r="65" spans="1:7" x14ac:dyDescent="0.2">
      <c r="A65" s="9" t="s">
        <v>79</v>
      </c>
      <c r="B65" s="14">
        <v>447027</v>
      </c>
      <c r="C65" t="s">
        <v>310</v>
      </c>
      <c r="D65" s="2" t="s">
        <v>315</v>
      </c>
      <c r="E65" s="30" t="s">
        <v>303</v>
      </c>
      <c r="F65" s="30" t="s">
        <v>313</v>
      </c>
    </row>
    <row r="66" spans="1:7" x14ac:dyDescent="0.2">
      <c r="A66" s="9" t="s">
        <v>80</v>
      </c>
      <c r="B66" s="38">
        <v>63755</v>
      </c>
      <c r="C66" t="s">
        <v>310</v>
      </c>
      <c r="D66" s="2" t="s">
        <v>309</v>
      </c>
      <c r="E66" s="30" t="s">
        <v>303</v>
      </c>
      <c r="F66" s="30" t="s">
        <v>313</v>
      </c>
      <c r="G66" s="30" t="s">
        <v>304</v>
      </c>
    </row>
    <row r="67" spans="1:7" x14ac:dyDescent="0.2">
      <c r="A67" s="9" t="s">
        <v>81</v>
      </c>
    </row>
    <row r="68" spans="1:7" x14ac:dyDescent="0.2">
      <c r="A68" s="9" t="s">
        <v>82</v>
      </c>
    </row>
    <row r="69" spans="1:7" x14ac:dyDescent="0.2">
      <c r="A69" s="9" t="s">
        <v>83</v>
      </c>
    </row>
    <row r="70" spans="1:7" x14ac:dyDescent="0.2">
      <c r="A70" s="9" t="s">
        <v>84</v>
      </c>
    </row>
    <row r="71" spans="1:7" x14ac:dyDescent="0.2">
      <c r="A71" s="9" t="s">
        <v>85</v>
      </c>
    </row>
    <row r="72" spans="1:7" x14ac:dyDescent="0.2">
      <c r="A72" s="9" t="s">
        <v>86</v>
      </c>
    </row>
    <row r="73" spans="1:7" x14ac:dyDescent="0.2">
      <c r="A73" s="9" t="s">
        <v>87</v>
      </c>
    </row>
    <row r="74" spans="1:7" x14ac:dyDescent="0.2">
      <c r="A74" s="9" t="s">
        <v>88</v>
      </c>
    </row>
    <row r="75" spans="1:7" x14ac:dyDescent="0.2">
      <c r="A75" s="9" t="s">
        <v>89</v>
      </c>
      <c r="B75" s="38">
        <v>56941</v>
      </c>
      <c r="C75" t="s">
        <v>310</v>
      </c>
      <c r="D75" s="2" t="s">
        <v>309</v>
      </c>
      <c r="E75" s="30" t="s">
        <v>303</v>
      </c>
      <c r="F75" s="30" t="s">
        <v>313</v>
      </c>
      <c r="G75" s="30" t="s">
        <v>304</v>
      </c>
    </row>
    <row r="76" spans="1:7" x14ac:dyDescent="0.2">
      <c r="A76" s="9" t="s">
        <v>90</v>
      </c>
    </row>
    <row r="77" spans="1:7" x14ac:dyDescent="0.2">
      <c r="A77" s="9" t="s">
        <v>91</v>
      </c>
    </row>
    <row r="78" spans="1:7" x14ac:dyDescent="0.2">
      <c r="A78" s="9" t="s">
        <v>92</v>
      </c>
    </row>
    <row r="79" spans="1:7" x14ac:dyDescent="0.2">
      <c r="A79" s="9" t="s">
        <v>93</v>
      </c>
      <c r="B79" s="38">
        <v>81809</v>
      </c>
      <c r="C79" t="s">
        <v>310</v>
      </c>
      <c r="D79" s="2" t="s">
        <v>309</v>
      </c>
      <c r="E79" s="30" t="s">
        <v>303</v>
      </c>
      <c r="F79" s="30" t="s">
        <v>313</v>
      </c>
      <c r="G79" s="30" t="s">
        <v>304</v>
      </c>
    </row>
    <row r="80" spans="1:7" x14ac:dyDescent="0.2">
      <c r="A80" s="9" t="s">
        <v>94</v>
      </c>
      <c r="B80" s="14">
        <v>272396</v>
      </c>
      <c r="C80" t="s">
        <v>310</v>
      </c>
      <c r="D80" s="2" t="s">
        <v>309</v>
      </c>
      <c r="E80" s="30" t="s">
        <v>303</v>
      </c>
      <c r="F80" s="30" t="s">
        <v>313</v>
      </c>
      <c r="G80" s="30" t="s">
        <v>304</v>
      </c>
    </row>
    <row r="81" spans="1:7" x14ac:dyDescent="0.2">
      <c r="A81" s="9" t="s">
        <v>95</v>
      </c>
      <c r="B81" s="38">
        <v>560539</v>
      </c>
      <c r="C81" t="s">
        <v>310</v>
      </c>
      <c r="D81" s="2" t="s">
        <v>309</v>
      </c>
      <c r="E81" s="30" t="s">
        <v>303</v>
      </c>
      <c r="F81" s="30" t="s">
        <v>313</v>
      </c>
      <c r="G81" s="30" t="s">
        <v>304</v>
      </c>
    </row>
    <row r="82" spans="1:7" x14ac:dyDescent="0.2">
      <c r="A82" s="9" t="s">
        <v>96</v>
      </c>
    </row>
    <row r="83" spans="1:7" x14ac:dyDescent="0.2">
      <c r="A83" s="9" t="s">
        <v>97</v>
      </c>
    </row>
    <row r="84" spans="1:7" x14ac:dyDescent="0.2">
      <c r="A84" s="9" t="s">
        <v>98</v>
      </c>
    </row>
    <row r="85" spans="1:7" x14ac:dyDescent="0.2">
      <c r="A85" s="9" t="s">
        <v>99</v>
      </c>
    </row>
    <row r="86" spans="1:7" x14ac:dyDescent="0.2">
      <c r="A86" s="9" t="s">
        <v>100</v>
      </c>
    </row>
    <row r="87" spans="1:7" x14ac:dyDescent="0.2">
      <c r="A87" s="9" t="s">
        <v>101</v>
      </c>
    </row>
    <row r="88" spans="1:7" x14ac:dyDescent="0.2">
      <c r="A88" s="9" t="s">
        <v>102</v>
      </c>
    </row>
    <row r="89" spans="1:7" x14ac:dyDescent="0.2">
      <c r="A89" s="9" t="s">
        <v>103</v>
      </c>
    </row>
    <row r="90" spans="1:7" x14ac:dyDescent="0.2">
      <c r="A90" s="9" t="s">
        <v>104</v>
      </c>
    </row>
    <row r="91" spans="1:7" x14ac:dyDescent="0.2">
      <c r="A91" s="9" t="s">
        <v>105</v>
      </c>
      <c r="B91" s="38">
        <v>20576</v>
      </c>
      <c r="C91" t="s">
        <v>310</v>
      </c>
      <c r="D91" s="2" t="s">
        <v>309</v>
      </c>
      <c r="E91" s="30" t="s">
        <v>303</v>
      </c>
      <c r="F91" s="30" t="s">
        <v>313</v>
      </c>
      <c r="G91" s="30" t="s">
        <v>304</v>
      </c>
    </row>
    <row r="92" spans="1:7" x14ac:dyDescent="0.2">
      <c r="A92" s="9" t="s">
        <v>106</v>
      </c>
      <c r="B92" s="38">
        <v>72813</v>
      </c>
      <c r="C92" t="s">
        <v>310</v>
      </c>
      <c r="D92" s="2" t="s">
        <v>309</v>
      </c>
      <c r="E92" s="30" t="s">
        <v>303</v>
      </c>
      <c r="F92" s="30" t="s">
        <v>313</v>
      </c>
      <c r="G92" s="30" t="s">
        <v>304</v>
      </c>
    </row>
    <row r="93" spans="1:7" x14ac:dyDescent="0.2">
      <c r="A93" s="9" t="s">
        <v>107</v>
      </c>
      <c r="B93" s="38">
        <v>84761</v>
      </c>
      <c r="C93" t="s">
        <v>310</v>
      </c>
      <c r="D93" s="2" t="s">
        <v>309</v>
      </c>
      <c r="E93" s="30" t="s">
        <v>303</v>
      </c>
      <c r="F93" s="30" t="s">
        <v>313</v>
      </c>
      <c r="G93" s="30" t="s">
        <v>304</v>
      </c>
    </row>
    <row r="94" spans="1:7" x14ac:dyDescent="0.2">
      <c r="A94" s="9"/>
    </row>
    <row r="95" spans="1:7" x14ac:dyDescent="0.2">
      <c r="A95" s="9" t="s">
        <v>312</v>
      </c>
      <c r="B95" s="38">
        <v>19480</v>
      </c>
      <c r="C95" t="s">
        <v>310</v>
      </c>
      <c r="D95" s="2" t="s">
        <v>309</v>
      </c>
      <c r="E95" s="30" t="s">
        <v>303</v>
      </c>
      <c r="F95" s="30" t="s">
        <v>313</v>
      </c>
      <c r="G95" s="30" t="s">
        <v>304</v>
      </c>
    </row>
    <row r="96" spans="1:7" x14ac:dyDescent="0.2">
      <c r="A96" s="9" t="s">
        <v>110</v>
      </c>
      <c r="B96" s="38">
        <v>3548</v>
      </c>
      <c r="C96" t="s">
        <v>310</v>
      </c>
      <c r="D96" s="2" t="s">
        <v>309</v>
      </c>
      <c r="E96" s="30" t="s">
        <v>303</v>
      </c>
      <c r="F96" s="30" t="s">
        <v>313</v>
      </c>
      <c r="G96" s="30" t="s">
        <v>304</v>
      </c>
    </row>
    <row r="97" spans="1:7" x14ac:dyDescent="0.2">
      <c r="A97" s="9" t="s">
        <v>111</v>
      </c>
      <c r="B97" s="38">
        <v>76220</v>
      </c>
      <c r="C97" t="s">
        <v>310</v>
      </c>
      <c r="D97" s="2" t="s">
        <v>309</v>
      </c>
      <c r="E97" s="30" t="s">
        <v>303</v>
      </c>
      <c r="F97" s="30" t="s">
        <v>313</v>
      </c>
      <c r="G97" s="30" t="s">
        <v>304</v>
      </c>
    </row>
    <row r="98" spans="1:7" x14ac:dyDescent="0.2">
      <c r="A98" s="9" t="s">
        <v>112</v>
      </c>
      <c r="B98" s="39">
        <v>4450</v>
      </c>
      <c r="C98" t="s">
        <v>310</v>
      </c>
      <c r="D98" s="2" t="s">
        <v>309</v>
      </c>
      <c r="E98" s="30" t="s">
        <v>303</v>
      </c>
      <c r="F98" s="30" t="s">
        <v>313</v>
      </c>
      <c r="G98" s="30" t="s">
        <v>304</v>
      </c>
    </row>
    <row r="99" spans="1:7" x14ac:dyDescent="0.2">
      <c r="A99" s="9" t="s">
        <v>113</v>
      </c>
      <c r="B99" s="38">
        <v>27905</v>
      </c>
      <c r="C99" t="s">
        <v>310</v>
      </c>
      <c r="D99" s="2" t="s">
        <v>309</v>
      </c>
      <c r="E99" s="30" t="s">
        <v>303</v>
      </c>
      <c r="F99" s="30" t="s">
        <v>313</v>
      </c>
      <c r="G99" s="30" t="s">
        <v>304</v>
      </c>
    </row>
    <row r="100" spans="1:7" x14ac:dyDescent="0.2">
      <c r="A100" s="9" t="s">
        <v>114</v>
      </c>
      <c r="B100" s="38">
        <v>12040</v>
      </c>
      <c r="C100" t="s">
        <v>310</v>
      </c>
      <c r="D100" s="2" t="s">
        <v>309</v>
      </c>
      <c r="E100" s="30" t="s">
        <v>303</v>
      </c>
      <c r="F100" s="30" t="s">
        <v>313</v>
      </c>
      <c r="G100" s="30" t="s">
        <v>304</v>
      </c>
    </row>
    <row r="101" spans="1:7" x14ac:dyDescent="0.2">
      <c r="A101" s="9" t="s">
        <v>115</v>
      </c>
      <c r="B101" s="38">
        <v>1530163</v>
      </c>
      <c r="C101" t="s">
        <v>310</v>
      </c>
      <c r="D101" s="2" t="s">
        <v>309</v>
      </c>
      <c r="E101" s="30" t="s">
        <v>303</v>
      </c>
      <c r="F101" s="30" t="s">
        <v>313</v>
      </c>
      <c r="G101" s="30" t="s">
        <v>304</v>
      </c>
    </row>
    <row r="102" spans="1:7" x14ac:dyDescent="0.2">
      <c r="A102" s="9" t="s">
        <v>116</v>
      </c>
      <c r="B102" s="38">
        <v>119665</v>
      </c>
      <c r="C102" t="s">
        <v>310</v>
      </c>
      <c r="D102" s="2" t="s">
        <v>309</v>
      </c>
      <c r="E102" s="30" t="s">
        <v>303</v>
      </c>
      <c r="F102" s="30" t="s">
        <v>313</v>
      </c>
      <c r="G102" s="30" t="s">
        <v>304</v>
      </c>
    </row>
    <row r="103" spans="1:7" x14ac:dyDescent="0.2">
      <c r="A103" s="9" t="s">
        <v>117</v>
      </c>
    </row>
    <row r="104" spans="1:7" x14ac:dyDescent="0.2">
      <c r="A104" s="9" t="s">
        <v>118</v>
      </c>
    </row>
    <row r="105" spans="1:7" x14ac:dyDescent="0.2">
      <c r="A105" s="9" t="s">
        <v>119</v>
      </c>
    </row>
    <row r="106" spans="1:7" x14ac:dyDescent="0.2">
      <c r="A106" s="9" t="s">
        <v>120</v>
      </c>
    </row>
    <row r="107" spans="1:7" x14ac:dyDescent="0.2">
      <c r="A107" s="9" t="s">
        <v>121</v>
      </c>
    </row>
    <row r="108" spans="1:7" x14ac:dyDescent="0.2">
      <c r="A108" s="9" t="s">
        <v>122</v>
      </c>
    </row>
    <row r="109" spans="1:7" x14ac:dyDescent="0.2">
      <c r="A109" s="9" t="s">
        <v>123</v>
      </c>
    </row>
    <row r="110" spans="1:7" x14ac:dyDescent="0.2">
      <c r="A110" s="9" t="s">
        <v>124</v>
      </c>
      <c r="B110">
        <v>619180</v>
      </c>
      <c r="C110" t="s">
        <v>310</v>
      </c>
      <c r="D110" s="2" t="s">
        <v>315</v>
      </c>
      <c r="E110" s="30" t="s">
        <v>303</v>
      </c>
      <c r="F110" s="30" t="s">
        <v>313</v>
      </c>
    </row>
    <row r="111" spans="1:7" x14ac:dyDescent="0.2">
      <c r="A111" s="9" t="s">
        <v>125</v>
      </c>
    </row>
    <row r="112" spans="1:7" x14ac:dyDescent="0.2">
      <c r="A112" s="9" t="s">
        <v>126</v>
      </c>
    </row>
    <row r="113" spans="1:7" x14ac:dyDescent="0.2">
      <c r="A113" s="9" t="s">
        <v>127</v>
      </c>
    </row>
    <row r="114" spans="1:7" x14ac:dyDescent="0.2">
      <c r="A114" s="9" t="s">
        <v>128</v>
      </c>
    </row>
    <row r="115" spans="1:7" x14ac:dyDescent="0.2">
      <c r="A115" s="9" t="s">
        <v>129</v>
      </c>
    </row>
    <row r="116" spans="1:7" x14ac:dyDescent="0.2">
      <c r="A116" s="9" t="s">
        <v>130</v>
      </c>
    </row>
    <row r="117" spans="1:7" x14ac:dyDescent="0.2">
      <c r="A117" s="9" t="s">
        <v>131</v>
      </c>
    </row>
    <row r="118" spans="1:7" x14ac:dyDescent="0.2">
      <c r="A118" s="9" t="s">
        <v>132</v>
      </c>
      <c r="B118" s="38">
        <v>6642</v>
      </c>
      <c r="C118" t="s">
        <v>310</v>
      </c>
      <c r="D118" s="2" t="s">
        <v>309</v>
      </c>
      <c r="E118" s="30" t="s">
        <v>303</v>
      </c>
      <c r="F118" s="30" t="s">
        <v>313</v>
      </c>
      <c r="G118" s="30" t="s">
        <v>304</v>
      </c>
    </row>
    <row r="119" spans="1:7" x14ac:dyDescent="0.2">
      <c r="A119" s="9" t="s">
        <v>133</v>
      </c>
      <c r="B119" s="38">
        <v>80741</v>
      </c>
      <c r="C119" t="s">
        <v>310</v>
      </c>
      <c r="D119" s="2" t="s">
        <v>309</v>
      </c>
      <c r="E119" s="30" t="s">
        <v>303</v>
      </c>
      <c r="F119" s="30" t="s">
        <v>313</v>
      </c>
      <c r="G119" s="30" t="s">
        <v>304</v>
      </c>
    </row>
    <row r="120" spans="1:7" x14ac:dyDescent="0.2">
      <c r="A120" s="9" t="s">
        <v>134</v>
      </c>
    </row>
    <row r="121" spans="1:7" x14ac:dyDescent="0.2">
      <c r="A121" s="9" t="s">
        <v>135</v>
      </c>
    </row>
    <row r="122" spans="1:7" x14ac:dyDescent="0.2">
      <c r="A122" s="9" t="s">
        <v>136</v>
      </c>
    </row>
    <row r="123" spans="1:7" x14ac:dyDescent="0.2">
      <c r="A123" s="9" t="s">
        <v>137</v>
      </c>
      <c r="B123" s="38">
        <v>89203</v>
      </c>
      <c r="C123" t="s">
        <v>310</v>
      </c>
      <c r="D123" s="2" t="s">
        <v>309</v>
      </c>
      <c r="E123" s="30" t="s">
        <v>303</v>
      </c>
      <c r="F123" s="30" t="s">
        <v>313</v>
      </c>
      <c r="G123" s="30" t="s">
        <v>304</v>
      </c>
    </row>
    <row r="124" spans="1:7" x14ac:dyDescent="0.2">
      <c r="A124" s="9" t="s">
        <v>138</v>
      </c>
    </row>
    <row r="125" spans="1:7" x14ac:dyDescent="0.2">
      <c r="A125" s="9" t="s">
        <v>139</v>
      </c>
      <c r="B125" s="38">
        <v>437596</v>
      </c>
      <c r="C125" t="s">
        <v>310</v>
      </c>
      <c r="D125" s="2" t="s">
        <v>309</v>
      </c>
      <c r="E125" s="30" t="s">
        <v>303</v>
      </c>
      <c r="F125" s="30" t="s">
        <v>313</v>
      </c>
      <c r="G125" s="30" t="s">
        <v>304</v>
      </c>
    </row>
    <row r="126" spans="1:7" x14ac:dyDescent="0.2">
      <c r="A126" s="9" t="s">
        <v>140</v>
      </c>
    </row>
    <row r="127" spans="1:7" x14ac:dyDescent="0.2">
      <c r="A127" s="9" t="s">
        <v>141</v>
      </c>
    </row>
    <row r="128" spans="1:7" x14ac:dyDescent="0.2">
      <c r="A128" s="9" t="s">
        <v>142</v>
      </c>
    </row>
    <row r="129" spans="1:7" x14ac:dyDescent="0.2">
      <c r="A129" s="9" t="s">
        <v>143</v>
      </c>
    </row>
    <row r="130" spans="1:7" x14ac:dyDescent="0.2">
      <c r="A130" s="9" t="s">
        <v>144</v>
      </c>
      <c r="B130" s="39">
        <v>12000</v>
      </c>
      <c r="C130" t="s">
        <v>310</v>
      </c>
      <c r="D130" s="2" t="s">
        <v>309</v>
      </c>
      <c r="E130" s="30" t="s">
        <v>303</v>
      </c>
      <c r="F130" s="30" t="s">
        <v>313</v>
      </c>
      <c r="G130" s="30" t="s">
        <v>304</v>
      </c>
    </row>
    <row r="131" spans="1:7" x14ac:dyDescent="0.2">
      <c r="A131" s="9" t="s">
        <v>145</v>
      </c>
      <c r="B131" s="38">
        <v>199531</v>
      </c>
      <c r="C131" t="s">
        <v>310</v>
      </c>
      <c r="D131" s="2" t="s">
        <v>309</v>
      </c>
      <c r="E131" s="30" t="s">
        <v>303</v>
      </c>
      <c r="F131" s="30" t="s">
        <v>313</v>
      </c>
      <c r="G131" s="30" t="s">
        <v>304</v>
      </c>
    </row>
    <row r="132" spans="1:7" x14ac:dyDescent="0.2">
      <c r="A132" s="9" t="s">
        <v>146</v>
      </c>
      <c r="B132" s="40">
        <v>28028429</v>
      </c>
      <c r="C132" t="s">
        <v>310</v>
      </c>
      <c r="D132" s="2" t="s">
        <v>314</v>
      </c>
      <c r="E132" s="30" t="s">
        <v>303</v>
      </c>
      <c r="F132" s="30" t="s">
        <v>313</v>
      </c>
    </row>
    <row r="133" spans="1:7" x14ac:dyDescent="0.2">
      <c r="A133" s="9" t="s">
        <v>147</v>
      </c>
    </row>
    <row r="134" spans="1:7" x14ac:dyDescent="0.2">
      <c r="A134" s="9" t="s">
        <v>148</v>
      </c>
    </row>
    <row r="135" spans="1:7" x14ac:dyDescent="0.2">
      <c r="A135" s="9" t="s">
        <v>149</v>
      </c>
    </row>
    <row r="136" spans="1:7" x14ac:dyDescent="0.2">
      <c r="A136" s="9" t="s">
        <v>150</v>
      </c>
    </row>
    <row r="137" spans="1:7" x14ac:dyDescent="0.2">
      <c r="A137" s="9" t="s">
        <v>151</v>
      </c>
    </row>
    <row r="138" spans="1:7" x14ac:dyDescent="0.2">
      <c r="A138" s="9" t="s">
        <v>152</v>
      </c>
    </row>
    <row r="139" spans="1:7" x14ac:dyDescent="0.2">
      <c r="A139" s="9" t="s">
        <v>153</v>
      </c>
    </row>
    <row r="140" spans="1:7" x14ac:dyDescent="0.2">
      <c r="A140" s="9" t="s">
        <v>154</v>
      </c>
    </row>
    <row r="141" spans="1:7" x14ac:dyDescent="0.2">
      <c r="A141" s="9" t="s">
        <v>155</v>
      </c>
    </row>
    <row r="142" spans="1:7" x14ac:dyDescent="0.2">
      <c r="A142" s="9" t="s">
        <v>156</v>
      </c>
    </row>
    <row r="143" spans="1:7" x14ac:dyDescent="0.2">
      <c r="A143" s="9" t="s">
        <v>157</v>
      </c>
    </row>
    <row r="144" spans="1:7" x14ac:dyDescent="0.2">
      <c r="A144" s="9" t="s">
        <v>158</v>
      </c>
    </row>
    <row r="145" spans="1:1" x14ac:dyDescent="0.2">
      <c r="A145" s="9" t="s">
        <v>159</v>
      </c>
    </row>
    <row r="146" spans="1:1" x14ac:dyDescent="0.2">
      <c r="A146" s="9" t="s">
        <v>160</v>
      </c>
    </row>
    <row r="147" spans="1:1" x14ac:dyDescent="0.2">
      <c r="A147" s="9" t="s">
        <v>161</v>
      </c>
    </row>
    <row r="148" spans="1:1" x14ac:dyDescent="0.2">
      <c r="A148" s="9" t="s">
        <v>162</v>
      </c>
    </row>
    <row r="149" spans="1:1" x14ac:dyDescent="0.2">
      <c r="A149" s="9" t="s">
        <v>163</v>
      </c>
    </row>
    <row r="150" spans="1:1" x14ac:dyDescent="0.2">
      <c r="A150" s="11" t="s">
        <v>165</v>
      </c>
    </row>
    <row r="151" spans="1:1" x14ac:dyDescent="0.2">
      <c r="A151" s="12" t="s">
        <v>167</v>
      </c>
    </row>
    <row r="152" spans="1:1" x14ac:dyDescent="0.2">
      <c r="A152" s="13" t="s">
        <v>168</v>
      </c>
    </row>
    <row r="153" spans="1:1" x14ac:dyDescent="0.2">
      <c r="A153" s="11" t="s">
        <v>169</v>
      </c>
    </row>
    <row r="154" spans="1:1" x14ac:dyDescent="0.2">
      <c r="A154" s="13" t="s">
        <v>172</v>
      </c>
    </row>
    <row r="155" spans="1:1" x14ac:dyDescent="0.2">
      <c r="A155" s="9" t="s">
        <v>173</v>
      </c>
    </row>
    <row r="156" spans="1:1" x14ac:dyDescent="0.2">
      <c r="A156" s="9" t="s">
        <v>174</v>
      </c>
    </row>
    <row r="157" spans="1:1" x14ac:dyDescent="0.2">
      <c r="A157" s="9" t="s">
        <v>179</v>
      </c>
    </row>
    <row r="158" spans="1:1" x14ac:dyDescent="0.2">
      <c r="A158" s="13" t="s">
        <v>318</v>
      </c>
    </row>
    <row r="159" spans="1:1" x14ac:dyDescent="0.2">
      <c r="A159" s="9" t="s">
        <v>182</v>
      </c>
    </row>
    <row r="160" spans="1:1" x14ac:dyDescent="0.2">
      <c r="A160" s="31" t="s">
        <v>183</v>
      </c>
    </row>
    <row r="161" spans="1:4" x14ac:dyDescent="0.2">
      <c r="A161" s="32" t="s">
        <v>184</v>
      </c>
      <c r="B161">
        <v>103.8</v>
      </c>
      <c r="C161" t="s">
        <v>316</v>
      </c>
      <c r="D161" s="2" t="s">
        <v>317</v>
      </c>
    </row>
    <row r="162" spans="1:4" x14ac:dyDescent="0.2">
      <c r="A162" s="32" t="s">
        <v>185</v>
      </c>
      <c r="B162">
        <v>18690</v>
      </c>
      <c r="C162" t="s">
        <v>319</v>
      </c>
      <c r="D162" s="2" t="s">
        <v>320</v>
      </c>
    </row>
    <row r="163" spans="1:4" x14ac:dyDescent="0.2">
      <c r="A163" s="32" t="s">
        <v>186</v>
      </c>
    </row>
    <row r="164" spans="1:4" ht="19" x14ac:dyDescent="0.2">
      <c r="A164" s="32" t="s">
        <v>273</v>
      </c>
      <c r="B164">
        <v>1.9</v>
      </c>
      <c r="C164" t="s">
        <v>319</v>
      </c>
      <c r="D164" s="2" t="s">
        <v>317</v>
      </c>
    </row>
    <row r="165" spans="1:4" x14ac:dyDescent="0.2">
      <c r="A165" s="32" t="s">
        <v>187</v>
      </c>
    </row>
    <row r="166" spans="1:4" x14ac:dyDescent="0.2">
      <c r="A166" s="32" t="s">
        <v>188</v>
      </c>
      <c r="B166">
        <v>5.3</v>
      </c>
      <c r="C166" t="s">
        <v>319</v>
      </c>
      <c r="D166" s="2" t="s">
        <v>317</v>
      </c>
    </row>
    <row r="167" spans="1:4" ht="19" x14ac:dyDescent="0.2">
      <c r="A167" s="32" t="s">
        <v>274</v>
      </c>
    </row>
    <row r="168" spans="1:4" x14ac:dyDescent="0.2">
      <c r="A168" s="32" t="s">
        <v>189</v>
      </c>
    </row>
    <row r="169" spans="1:4" x14ac:dyDescent="0.2">
      <c r="A169" s="32" t="s">
        <v>190</v>
      </c>
      <c r="B169">
        <v>0.78</v>
      </c>
      <c r="C169" t="s">
        <v>316</v>
      </c>
      <c r="D169" s="2" t="s">
        <v>317</v>
      </c>
    </row>
    <row r="170" spans="1:4" x14ac:dyDescent="0.2">
      <c r="A170" s="32" t="s">
        <v>191</v>
      </c>
    </row>
    <row r="171" spans="1:4" x14ac:dyDescent="0.2">
      <c r="A171" s="32" t="s">
        <v>192</v>
      </c>
    </row>
    <row r="172" spans="1:4" ht="19" x14ac:dyDescent="0.2">
      <c r="A172" s="33" t="s">
        <v>245</v>
      </c>
    </row>
    <row r="173" spans="1:4" x14ac:dyDescent="0.2">
      <c r="A173" s="32" t="s">
        <v>193</v>
      </c>
    </row>
    <row r="174" spans="1:4" x14ac:dyDescent="0.2">
      <c r="A174" s="32" t="s">
        <v>194</v>
      </c>
    </row>
    <row r="175" spans="1:4" x14ac:dyDescent="0.2">
      <c r="A175" s="32" t="s">
        <v>195</v>
      </c>
    </row>
    <row r="176" spans="1:4" x14ac:dyDescent="0.2">
      <c r="A176" s="32" t="s">
        <v>196</v>
      </c>
    </row>
    <row r="177" spans="1:4" ht="19" x14ac:dyDescent="0.2">
      <c r="A177" s="32" t="s">
        <v>275</v>
      </c>
    </row>
    <row r="178" spans="1:4" x14ac:dyDescent="0.2">
      <c r="A178" s="32" t="s">
        <v>197</v>
      </c>
    </row>
    <row r="179" spans="1:4" x14ac:dyDescent="0.2">
      <c r="A179" s="34" t="s">
        <v>198</v>
      </c>
    </row>
    <row r="180" spans="1:4" x14ac:dyDescent="0.2">
      <c r="A180" s="31" t="s">
        <v>199</v>
      </c>
      <c r="B180">
        <v>296</v>
      </c>
      <c r="C180" t="s">
        <v>319</v>
      </c>
      <c r="D180" s="2" t="s">
        <v>317</v>
      </c>
    </row>
    <row r="181" spans="1:4" x14ac:dyDescent="0.2">
      <c r="A181" s="32" t="s">
        <v>200</v>
      </c>
    </row>
    <row r="182" spans="1:4" x14ac:dyDescent="0.2">
      <c r="A182" s="32" t="s">
        <v>201</v>
      </c>
    </row>
    <row r="183" spans="1:4" x14ac:dyDescent="0.2">
      <c r="A183" s="32" t="s">
        <v>202</v>
      </c>
    </row>
    <row r="184" spans="1:4" x14ac:dyDescent="0.2">
      <c r="A184" s="32" t="s">
        <v>203</v>
      </c>
    </row>
    <row r="185" spans="1:4" x14ac:dyDescent="0.2">
      <c r="A185" s="32" t="s">
        <v>204</v>
      </c>
    </row>
    <row r="186" spans="1:4" x14ac:dyDescent="0.2">
      <c r="A186" s="32" t="s">
        <v>205</v>
      </c>
    </row>
    <row r="187" spans="1:4" x14ac:dyDescent="0.2">
      <c r="A187" s="32" t="s">
        <v>206</v>
      </c>
    </row>
    <row r="188" spans="1:4" x14ac:dyDescent="0.2">
      <c r="A188" s="32" t="s">
        <v>207</v>
      </c>
    </row>
    <row r="189" spans="1:4" x14ac:dyDescent="0.2">
      <c r="A189" s="32" t="s">
        <v>208</v>
      </c>
      <c r="B189">
        <v>0.47</v>
      </c>
      <c r="C189" t="s">
        <v>316</v>
      </c>
      <c r="D189" s="2" t="s">
        <v>317</v>
      </c>
    </row>
    <row r="190" spans="1:4" x14ac:dyDescent="0.2">
      <c r="A190" s="32" t="s">
        <v>209</v>
      </c>
    </row>
    <row r="191" spans="1:4" x14ac:dyDescent="0.2">
      <c r="A191" s="32" t="s">
        <v>210</v>
      </c>
    </row>
    <row r="192" spans="1:4" x14ac:dyDescent="0.2">
      <c r="A192" s="32" t="s">
        <v>211</v>
      </c>
    </row>
    <row r="193" spans="1:4" ht="19" x14ac:dyDescent="0.2">
      <c r="A193" s="32" t="s">
        <v>276</v>
      </c>
    </row>
    <row r="194" spans="1:4" x14ac:dyDescent="0.2">
      <c r="A194" s="32" t="s">
        <v>212</v>
      </c>
    </row>
    <row r="195" spans="1:4" x14ac:dyDescent="0.2">
      <c r="A195" s="32" t="s">
        <v>203</v>
      </c>
    </row>
    <row r="196" spans="1:4" x14ac:dyDescent="0.2">
      <c r="A196" s="32" t="s">
        <v>213</v>
      </c>
    </row>
    <row r="197" spans="1:4" x14ac:dyDescent="0.2">
      <c r="A197" s="32" t="s">
        <v>214</v>
      </c>
      <c r="B197">
        <v>0.15</v>
      </c>
      <c r="C197" t="s">
        <v>316</v>
      </c>
      <c r="D197" s="2" t="s">
        <v>317</v>
      </c>
    </row>
    <row r="198" spans="1:4" x14ac:dyDescent="0.2">
      <c r="A198" s="32" t="s">
        <v>215</v>
      </c>
    </row>
    <row r="199" spans="1:4" ht="19" x14ac:dyDescent="0.2">
      <c r="A199" s="32" t="s">
        <v>277</v>
      </c>
    </row>
    <row r="200" spans="1:4" ht="19" x14ac:dyDescent="0.2">
      <c r="A200" s="32" t="s">
        <v>278</v>
      </c>
    </row>
    <row r="201" spans="1:4" ht="19" x14ac:dyDescent="0.2">
      <c r="A201" s="32" t="s">
        <v>279</v>
      </c>
    </row>
    <row r="202" spans="1:4" x14ac:dyDescent="0.2">
      <c r="A202" s="32" t="s">
        <v>216</v>
      </c>
    </row>
    <row r="203" spans="1:4" x14ac:dyDescent="0.2">
      <c r="A203" s="32" t="s">
        <v>217</v>
      </c>
    </row>
    <row r="204" spans="1:4" x14ac:dyDescent="0.2">
      <c r="A204" s="32" t="s">
        <v>218</v>
      </c>
    </row>
    <row r="205" spans="1:4" ht="19" x14ac:dyDescent="0.2">
      <c r="A205" s="32" t="s">
        <v>280</v>
      </c>
    </row>
    <row r="206" spans="1:4" ht="19" x14ac:dyDescent="0.2">
      <c r="A206" s="32" t="s">
        <v>281</v>
      </c>
    </row>
    <row r="207" spans="1:4" x14ac:dyDescent="0.2">
      <c r="A207" s="32" t="s">
        <v>219</v>
      </c>
      <c r="B207">
        <v>1.03</v>
      </c>
      <c r="C207" t="s">
        <v>319</v>
      </c>
      <c r="D207" s="2" t="s">
        <v>317</v>
      </c>
    </row>
    <row r="208" spans="1:4" x14ac:dyDescent="0.2">
      <c r="A208" s="32" t="s">
        <v>220</v>
      </c>
    </row>
    <row r="209" spans="1:4" x14ac:dyDescent="0.2">
      <c r="A209" s="32" t="s">
        <v>221</v>
      </c>
    </row>
    <row r="210" spans="1:4" x14ac:dyDescent="0.2">
      <c r="A210" s="32" t="s">
        <v>222</v>
      </c>
    </row>
    <row r="211" spans="1:4" x14ac:dyDescent="0.2">
      <c r="A211" s="32" t="s">
        <v>223</v>
      </c>
    </row>
    <row r="212" spans="1:4" ht="19" x14ac:dyDescent="0.2">
      <c r="A212" s="32" t="s">
        <v>282</v>
      </c>
    </row>
    <row r="213" spans="1:4" x14ac:dyDescent="0.2">
      <c r="A213" s="32" t="s">
        <v>224</v>
      </c>
    </row>
    <row r="214" spans="1:4" x14ac:dyDescent="0.2">
      <c r="A214" s="32" t="s">
        <v>225</v>
      </c>
    </row>
    <row r="215" spans="1:4" ht="19" x14ac:dyDescent="0.2">
      <c r="A215" s="32" t="s">
        <v>283</v>
      </c>
    </row>
    <row r="216" spans="1:4" x14ac:dyDescent="0.2">
      <c r="A216" s="32" t="s">
        <v>226</v>
      </c>
      <c r="B216">
        <v>1.1000000000000001</v>
      </c>
      <c r="C216" t="s">
        <v>316</v>
      </c>
      <c r="D216" s="2" t="s">
        <v>317</v>
      </c>
    </row>
    <row r="217" spans="1:4" x14ac:dyDescent="0.2">
      <c r="A217" s="32" t="s">
        <v>227</v>
      </c>
    </row>
    <row r="218" spans="1:4" x14ac:dyDescent="0.2">
      <c r="A218" s="32" t="s">
        <v>193</v>
      </c>
    </row>
    <row r="219" spans="1:4" ht="19" x14ac:dyDescent="0.2">
      <c r="A219" s="32" t="s">
        <v>284</v>
      </c>
    </row>
    <row r="220" spans="1:4" x14ac:dyDescent="0.2">
      <c r="A220" s="32" t="s">
        <v>228</v>
      </c>
    </row>
    <row r="221" spans="1:4" x14ac:dyDescent="0.2">
      <c r="A221" s="32" t="s">
        <v>229</v>
      </c>
    </row>
    <row r="222" spans="1:4" x14ac:dyDescent="0.2">
      <c r="A222" s="32" t="s">
        <v>230</v>
      </c>
    </row>
    <row r="223" spans="1:4" ht="19" x14ac:dyDescent="0.2">
      <c r="A223" s="32" t="s">
        <v>285</v>
      </c>
    </row>
    <row r="224" spans="1:4" ht="19" x14ac:dyDescent="0.2">
      <c r="A224" s="32" t="s">
        <v>286</v>
      </c>
    </row>
    <row r="225" spans="1:1" x14ac:dyDescent="0.2">
      <c r="A225" s="32" t="s">
        <v>231</v>
      </c>
    </row>
    <row r="226" spans="1:1" x14ac:dyDescent="0.2">
      <c r="A226" s="32" t="s">
        <v>232</v>
      </c>
    </row>
    <row r="227" spans="1:1" x14ac:dyDescent="0.2">
      <c r="A227" s="32" t="s">
        <v>233</v>
      </c>
    </row>
    <row r="228" spans="1:1" x14ac:dyDescent="0.2">
      <c r="A228" s="32" t="s">
        <v>234</v>
      </c>
    </row>
    <row r="229" spans="1:1" x14ac:dyDescent="0.2">
      <c r="A229" s="32" t="s">
        <v>235</v>
      </c>
    </row>
    <row r="230" spans="1:1" x14ac:dyDescent="0.2">
      <c r="A230" s="32" t="s">
        <v>236</v>
      </c>
    </row>
    <row r="231" spans="1:1" x14ac:dyDescent="0.2">
      <c r="A231" s="32" t="s">
        <v>218</v>
      </c>
    </row>
    <row r="232" spans="1:1" ht="19" x14ac:dyDescent="0.2">
      <c r="A232" s="32" t="s">
        <v>287</v>
      </c>
    </row>
    <row r="233" spans="1:1" x14ac:dyDescent="0.2">
      <c r="A233" s="32" t="s">
        <v>237</v>
      </c>
    </row>
    <row r="234" spans="1:1" x14ac:dyDescent="0.2">
      <c r="A234" s="32" t="s">
        <v>238</v>
      </c>
    </row>
    <row r="235" spans="1:1" ht="19" x14ac:dyDescent="0.2">
      <c r="A235" s="32" t="s">
        <v>288</v>
      </c>
    </row>
    <row r="236" spans="1:1" x14ac:dyDescent="0.2">
      <c r="A236" s="32" t="s">
        <v>239</v>
      </c>
    </row>
    <row r="237" spans="1:1" x14ac:dyDescent="0.2">
      <c r="A237" s="32" t="s">
        <v>240</v>
      </c>
    </row>
    <row r="238" spans="1:1" x14ac:dyDescent="0.2">
      <c r="A238" s="32" t="s">
        <v>241</v>
      </c>
    </row>
    <row r="239" spans="1:1" ht="19" x14ac:dyDescent="0.2">
      <c r="A239" s="32" t="s">
        <v>289</v>
      </c>
    </row>
    <row r="240" spans="1:1" ht="19" x14ac:dyDescent="0.2">
      <c r="A240" s="32" t="s">
        <v>290</v>
      </c>
    </row>
    <row r="241" spans="1:1" ht="19" x14ac:dyDescent="0.2">
      <c r="A241" s="32" t="s">
        <v>291</v>
      </c>
    </row>
    <row r="242" spans="1:1" ht="19" x14ac:dyDescent="0.2">
      <c r="A242" s="32" t="s">
        <v>292</v>
      </c>
    </row>
    <row r="243" spans="1:1" x14ac:dyDescent="0.2">
      <c r="A243" s="32" t="s">
        <v>203</v>
      </c>
    </row>
    <row r="244" spans="1:1" ht="18" x14ac:dyDescent="0.2">
      <c r="A244" s="32" t="s">
        <v>293</v>
      </c>
    </row>
    <row r="245" spans="1:1" x14ac:dyDescent="0.2">
      <c r="A245" s="32" t="s">
        <v>242</v>
      </c>
    </row>
    <row r="246" spans="1:1" ht="19" x14ac:dyDescent="0.2">
      <c r="A246" s="32" t="s">
        <v>294</v>
      </c>
    </row>
  </sheetData>
  <phoneticPr fontId="22" type="noConversion"/>
  <hyperlinks>
    <hyperlink ref="D3:D7" r:id="rId1" display="ABARES Aus Forest/Wood Production" xr:uid="{ABFEB0DD-9BC3-794B-9248-C93F6DEA432C}"/>
    <hyperlink ref="D9:D13" r:id="rId2" display="ABARES Aus Forest/Wood Production" xr:uid="{888A74E7-F7A7-D84D-87BE-3A65E443D651}"/>
    <hyperlink ref="D18" r:id="rId3" location="data-downloads" xr:uid="{9BCB82CC-01F6-5F47-BA0F-42B18F37AF5A}"/>
    <hyperlink ref="D19:D24" r:id="rId4" location="data-downloads" display="ABS Agriculture: Horticulture CSV" xr:uid="{AA94D259-D4BC-334F-BC11-274BEE3705EB}"/>
    <hyperlink ref="D26" r:id="rId5" location="data-downloads" xr:uid="{30C40550-9CD7-F948-9D12-946FB576C503}"/>
    <hyperlink ref="D28" r:id="rId6" location="data-downloads" xr:uid="{BD774631-EA2F-3841-ACA5-BA77D3D68DD0}"/>
    <hyperlink ref="D31" r:id="rId7" location="data-downloads" xr:uid="{099759A5-77F3-3F45-B60F-8A1EB6B96B5A}"/>
    <hyperlink ref="D33" r:id="rId8" location="data-downloads" xr:uid="{5FC44516-23ED-5B4B-879E-078A5290B068}"/>
    <hyperlink ref="D34" r:id="rId9" location="data-downloads" xr:uid="{1B03305D-094A-CB43-AD34-0E25729FA9A3}"/>
    <hyperlink ref="D38" r:id="rId10" location="data-downloads" xr:uid="{1E0A065E-6B37-A94F-9279-0D36793B5DAA}"/>
    <hyperlink ref="D45" r:id="rId11" location="data-downloads" xr:uid="{4037A29F-B8E5-CE4E-881D-74A9733439F0}"/>
    <hyperlink ref="D50" r:id="rId12" location="data-downloads" xr:uid="{C1FB57BA-A364-E94B-B527-79976722A431}"/>
    <hyperlink ref="D60:D61" r:id="rId13" location="data-downloads" display="ABS Agriculture: Horticulture CSV" xr:uid="{6C9B2705-C48F-C146-BE7A-11AEC1D67C49}"/>
    <hyperlink ref="D66" r:id="rId14" location="data-downloads" xr:uid="{9057DA1B-C61E-1944-A5BF-EB2512186582}"/>
    <hyperlink ref="D75" r:id="rId15" location="data-downloads" xr:uid="{98B4A8B3-2CCA-6A4A-99B9-380EE53CA306}"/>
    <hyperlink ref="D79:D81" r:id="rId16" location="data-downloads" display="ABS Agriculture: Horticulture CSV" xr:uid="{8F2CE544-C962-3A44-A726-8091346399E7}"/>
    <hyperlink ref="D91:D93" r:id="rId17" location="data-downloads" display="ABS Agriculture: Horticulture CSV" xr:uid="{0CA63382-7A6E-4E4C-B733-CA11F56F691D}"/>
    <hyperlink ref="D95:D102" r:id="rId18" location="data-downloads" display="ABS Agriculture: Horticulture CSV" xr:uid="{00BDBFBD-7A1F-A742-9FAE-A55CFEE07C3F}"/>
    <hyperlink ref="D118:D119" r:id="rId19" location="data-downloads" display="ABS Agriculture: Horticulture CSV" xr:uid="{65A1AE42-EECD-D544-B593-CC9E588F7F20}"/>
    <hyperlink ref="D123" r:id="rId20" location="data-downloads" xr:uid="{3FC423F1-8F70-1C4A-8F7B-9087FDF05BBB}"/>
    <hyperlink ref="D125" r:id="rId21" location="data-downloads" xr:uid="{3D939EE1-E3E0-A247-8A85-6F2E365B4ACE}"/>
    <hyperlink ref="D130:D131" r:id="rId22" location="data-downloads" display="ABS Agriculture: Horticulture CSV" xr:uid="{116B730F-180C-7847-8393-800FAA8F086E}"/>
    <hyperlink ref="D132" r:id="rId23" location="data-downloads" xr:uid="{7BAB8DCA-548A-584C-AFB6-137B3CEAA565}"/>
    <hyperlink ref="D64" r:id="rId24" location="data-downloads" xr:uid="{97C77D1E-ADEA-274F-8FCA-3036F4AF64F1}"/>
    <hyperlink ref="D65" r:id="rId25" location="data-downloads" xr:uid="{F6CE62F4-96F4-6E41-BB4C-E9748578F23D}"/>
    <hyperlink ref="D110" r:id="rId26" location="data-downloads" display="https://www.abs.gov.au/statistics/industry/agriculture/australian-agriculture-broadacre-crops/2023-24 - data-downloads" xr:uid="{D3CA713D-F2A2-CD4C-BBF7-38EC3D095647}"/>
    <hyperlink ref="D161" r:id="rId27" xr:uid="{40B444F1-5F40-AF4A-883F-04BD1C047AAE}"/>
    <hyperlink ref="D162" r:id="rId28" xr:uid="{C6310437-DD3E-014E-8D35-A15A6DD9E30E}"/>
    <hyperlink ref="D164" r:id="rId29" xr:uid="{F098FAB5-4233-0F43-AA9B-81DA123F5C99}"/>
    <hyperlink ref="D166" r:id="rId30" xr:uid="{AF952286-64FC-3A44-A109-0A935880D8FE}"/>
    <hyperlink ref="D169" r:id="rId31" xr:uid="{07E87C9A-704A-404F-85A9-B5D2D1214365}"/>
    <hyperlink ref="D180" r:id="rId32" xr:uid="{EF17AB69-3E0B-A947-8832-AA3370932802}"/>
    <hyperlink ref="D189" r:id="rId33" xr:uid="{B810FC92-57B5-5F4C-8E0C-A86E6562F5C8}"/>
    <hyperlink ref="D197" r:id="rId34" xr:uid="{CAED6DB3-B66C-5C4A-97F5-490B53C8E5A3}"/>
    <hyperlink ref="D207" r:id="rId35" xr:uid="{6CBC14E9-B990-B141-8791-72E717C14407}"/>
    <hyperlink ref="D216" r:id="rId36" xr:uid="{8E03BBA0-5301-BE4A-8DC6-E64835A479E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Australia_CWONMethodology</vt:lpstr>
      <vt:lpstr>Australia_ABS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Lalan, Anshul</dc:creator>
  <cp:lastModifiedBy>Lalan, Anshul</cp:lastModifiedBy>
  <dcterms:created xsi:type="dcterms:W3CDTF">2025-11-03T19:16:08Z</dcterms:created>
  <dcterms:modified xsi:type="dcterms:W3CDTF">2025-11-10T01:15:03Z</dcterms:modified>
</cp:coreProperties>
</file>